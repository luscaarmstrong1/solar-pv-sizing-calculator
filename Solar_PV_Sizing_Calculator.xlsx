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91ed2e2a0042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ashboard" sheetId="1" r:id="R46aafb3dfa674e8b"/>
    <x:sheet xmlns:r="http://schemas.openxmlformats.org/officeDocument/2006/relationships" name="02_Inputs" sheetId="2" r:id="R88d68545293047c9"/>
    <x:sheet xmlns:r="http://schemas.openxmlformats.org/officeDocument/2006/relationships" name="03_Consumo" sheetId="3" r:id="Rac0ad66530e64daf"/>
    <x:sheet xmlns:r="http://schemas.openxmlformats.org/officeDocument/2006/relationships" name="04_Recurso_Solar" sheetId="4" r:id="R1b2718e8e2524be3"/>
    <x:sheet xmlns:r="http://schemas.openxmlformats.org/officeDocument/2006/relationships" name="05_Modulo" sheetId="5" r:id="Rc81fe09d02c2457a"/>
    <x:sheet xmlns:r="http://schemas.openxmlformats.org/officeDocument/2006/relationships" name="06_Inversor" sheetId="6" r:id="R8015b1edec664781"/>
    <x:sheet xmlns:r="http://schemas.openxmlformats.org/officeDocument/2006/relationships" name="07_Dimensionamento" sheetId="7" r:id="R2c524289c10a401e"/>
    <x:sheet xmlns:r="http://schemas.openxmlformats.org/officeDocument/2006/relationships" name="08_Strings" sheetId="8" r:id="R23610aa491a6418b"/>
    <x:sheet xmlns:r="http://schemas.openxmlformats.org/officeDocument/2006/relationships" name="09_Geracao" sheetId="9" r:id="Re20b792140de489a"/>
    <x:sheet xmlns:r="http://schemas.openxmlformats.org/officeDocument/2006/relationships" name="10_Validacoes" sheetId="10" r:id="Ree2ddd709e3d452b"/>
    <x:sheet xmlns:r="http://schemas.openxmlformats.org/officeDocument/2006/relationships" name="11_Premissas" sheetId="11" r:id="Rdc6530dadb4c438f"/>
    <x:sheet xmlns:r="http://schemas.openxmlformats.org/officeDocument/2006/relationships" name="12_Documentacao" sheetId="12" r:id="R31445446f9b846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"/>
    <x:numFmt numFmtId="202" formatCode="#,##0.0"/>
    <x:numFmt numFmtId="203" formatCode="0.0"/>
    <x:numFmt numFmtId="204" formatCode="#,##0"/>
  </x:numFmts>
  <x:fonts count="8">
    <x:font>
      <x:sz val="11"/>
      <x:name val="Carlito"/>
    </x:font>
    <x:font>
      <x:sz val="10"/>
      <x:color rgb="FF172033"/>
      <x:name val="Arial"/>
    </x:font>
    <x:font>
      <x:b/>
      <x:sz val="15"/>
      <x:color rgb="FF17324D"/>
      <x:name val="Arial"/>
    </x:font>
    <x:font>
      <x:b/>
      <x:sz val="10"/>
      <x:color rgb="FFFFFFFF"/>
      <x:name val="Arial"/>
    </x:font>
    <x:font>
      <x:i/>
      <x:sz val="10"/>
      <x:color rgb="FF475569"/>
      <x:name val="Arial"/>
    </x:font>
    <x:font>
      <x:b/>
      <x:sz val="10"/>
      <x:color rgb="FF17324D"/>
      <x:name val="Arial"/>
    </x:font>
    <x:font>
      <x:b/>
      <x:sz val="15"/>
      <x:color rgb="FF2563EB"/>
      <x:name val="Arial"/>
    </x:font>
    <x:font>
      <x:i/>
      <x:sz val="9"/>
      <x:color rgb="FF64748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7E6"/>
      </x:patternFill>
    </x:fill>
    <x:fill>
      <x:patternFill patternType="solid">
        <x:fgColor rgb="FFEAF2FF"/>
      </x:patternFill>
    </x:fill>
    <x:fill>
      <x:patternFill patternType="solid">
        <x:fgColor rgb="FFE8F5F0"/>
      </x:patternFill>
    </x:fill>
  </x:fills>
  <x:borders count="18">
    <x:border/>
    <x:border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59E0B"/>
      </x:left>
      <x:right style="thin">
        <x:color rgb="FFF59E0B"/>
      </x:right>
      <x:top style="thin">
        <x:color rgb="FFF59E0B"/>
      </x:top>
    </x:border>
    <x:border>
      <x:left style="thin">
        <x:color rgb="FFF59E0B"/>
      </x:left>
      <x:right style="thin">
        <x:color rgb="FFF59E0B"/>
      </x:right>
    </x:border>
    <x:border>
      <x:left style="thin">
        <x:color rgb="FFF59E0B"/>
      </x:left>
      <x:right style="thin">
        <x:color rgb="FFF59E0B"/>
      </x:right>
      <x:bottom style="thin">
        <x:color rgb="FFF59E0B"/>
      </x:bottom>
    </x:border>
    <x:border>
      <x:left style="thin">
        <x:color rgb="FFFFFFFF"/>
      </x:left>
      <x:right style="thin">
        <x:color rgb="FFD7DEE8"/>
      </x:right>
      <x:top style="thin">
        <x:color rgb="FFFFFFFF"/>
      </x:top>
      <x:bottom style="thin">
        <x:color rgb="FFD7DEE8"/>
      </x:bottom>
    </x:border>
    <x:border>
      <x:left style="thin">
        <x:color rgb="FFD7DEE8"/>
      </x:left>
      <x:right style="thin">
        <x:color rgb="FFFFFFFF"/>
      </x:right>
      <x:top style="thin">
        <x:color rgb="FFFFFFFF"/>
      </x:top>
      <x:bottom style="thin">
        <x:color rgb="FFD7DEE8"/>
      </x:bottom>
    </x:border>
    <x:border>
      <x:left style="thin">
        <x:color rgb="FFFFFFFF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FFFFFF"/>
      </x:right>
      <x:top style="thin">
        <x:color rgb="FFD7DEE8"/>
      </x:top>
      <x:bottom style="thin">
        <x:color rgb="FFD7DEE8"/>
      </x:bottom>
    </x:border>
    <x:border>
      <x:left style="thin">
        <x:color rgb="FFFFFFFF"/>
      </x:left>
      <x:right style="thin">
        <x:color rgb="FFD7DEE8"/>
      </x:right>
      <x:top style="thin">
        <x:color rgb="FFD7DEE8"/>
      </x:top>
      <x:bottom style="thin">
        <x:color rgb="FFFFFFFF"/>
      </x:bottom>
    </x:border>
    <x:border>
      <x:left style="thin">
        <x:color rgb="FFD7DEE8"/>
      </x:left>
      <x:right style="thin">
        <x:color rgb="FFFFFFFF"/>
      </x:right>
      <x:top style="thin">
        <x:color rgb="FFD7DEE8"/>
      </x:top>
      <x:bottom style="thin">
        <x:color rgb="FFFFFFFF"/>
      </x:bottom>
    </x:border>
    <x:border>
      <x:left style="thin">
        <x:color rgb="FFD7DEE8"/>
      </x:left>
      <x:right style="thin">
        <x:color rgb="FFD7DEE8"/>
      </x:right>
      <x:top style="thin">
        <x:color rgb="FFFFFFFF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FFFFFF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1" fillId="3" borderId="0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200" fontId="1" fillId="3" borderId="3" xfId="0" applyNumberFormat="1" applyFont="1" applyFill="1" applyBorder="1"/>
    <x:xf numFmtId="200" fontId="1" fillId="3" borderId="4" xfId="0" applyNumberFormat="1" applyFont="1" applyFill="1" applyBorder="1"/>
    <x:xf numFmtId="201" fontId="1" fillId="3" borderId="4" xfId="0" applyNumberFormat="1" applyFont="1" applyFill="1" applyBorder="1"/>
    <x:xf numFmtId="200" fontId="1" fillId="3" borderId="5" xfId="0" applyNumberFormat="1" applyFont="1" applyFill="1" applyBorder="1"/>
    <x:xf numFmtId="202" fontId="1" fillId="3" borderId="3" xfId="0" applyNumberFormat="1" applyFont="1" applyFill="1" applyBorder="1"/>
    <x:xf numFmtId="202" fontId="1" fillId="3" borderId="4" xfId="0" applyNumberFormat="1" applyFont="1" applyFill="1" applyBorder="1"/>
    <x:xf numFmtId="202" fontId="1" fillId="3" borderId="5" xfId="0" applyNumberFormat="1" applyFont="1" applyFill="1" applyBorder="1"/>
    <x:xf numFmtId="202" fontId="1" fillId="0" borderId="0" xfId="0" applyNumberFormat="1" applyFont="1" applyFill="1" applyBorder="1"/>
    <x:xf numFmtId="202" fontId="3" fillId="2" borderId="2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1" fillId="0" borderId="8" xfId="0" applyNumberFormat="1" applyFont="1" applyFill="1" applyBorder="1"/>
    <x:xf numFmtId="202" fontId="1" fillId="3" borderId="9" xfId="0" applyNumberFormat="1" applyFont="1" applyFill="1" applyBorder="1"/>
    <x:xf numFmtId="202" fontId="1" fillId="0" borderId="9" xfId="0" applyNumberFormat="1" applyFont="1" applyFill="1" applyBorder="1"/>
    <x:xf numFmtId="0" fontId="3" fillId="2" borderId="8" xfId="0" applyNumberFormat="1" applyFont="1" applyFill="1" applyBorder="1"/>
    <x:xf numFmtId="202" fontId="3" fillId="2" borderId="9" xfId="0" applyNumberFormat="1" applyFont="1" applyFill="1" applyBorder="1"/>
    <x:xf numFmtId="0" fontId="1" fillId="0" borderId="10" xfId="0" applyNumberFormat="1" applyFont="1" applyFill="1" applyBorder="1"/>
    <x:xf numFmtId="202" fontId="1" fillId="0" borderId="11" xfId="0" applyNumberFormat="1" applyFont="1" applyFill="1" applyBorder="1"/>
    <x:xf numFmtId="0" fontId="3" fillId="2" borderId="6" xfId="0" applyNumberFormat="1" applyFont="1" applyFill="1" applyBorder="1" applyAlignment="1">
      <x:alignment vertical="center"/>
    </x:xf>
    <x:xf numFmtId="0" fontId="3" fillId="2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202" fontId="1" fillId="3" borderId="9" xfId="0" applyNumberFormat="1" applyFont="1" applyFill="1" applyBorder="1" applyAlignment="1">
      <x:alignment vertical="center"/>
    </x:xf>
    <x:xf numFmtId="202" fontId="1" fillId="0" borderId="9" xfId="0" applyNumberFormat="1" applyFont="1" applyFill="1" applyBorder="1" applyAlignment="1">
      <x:alignment vertical="center"/>
    </x:xf>
    <x:xf numFmtId="0" fontId="3" fillId="2" borderId="8" xfId="0" applyNumberFormat="1" applyFont="1" applyFill="1" applyBorder="1" applyAlignment="1">
      <x:alignment vertical="center"/>
    </x:xf>
    <x:xf numFmtId="202" fontId="3" fillId="2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202" fontId="1" fillId="0" borderId="1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3" fillId="2" borderId="12" xfId="0" applyNumberFormat="1" applyFont="1" applyFill="1" applyBorder="1"/>
    <x:xf numFmtId="0" fontId="1" fillId="3" borderId="13" xfId="0" applyNumberFormat="1" applyFont="1" applyFill="1" applyBorder="1"/>
    <x:xf numFmtId="0" fontId="1" fillId="0" borderId="13" xfId="0" applyNumberFormat="1" applyFont="1" applyFill="1" applyBorder="1"/>
    <x:xf numFmtId="200" fontId="1" fillId="3" borderId="9" xfId="0" applyNumberFormat="1" applyFont="1" applyFill="1" applyBorder="1"/>
    <x:xf numFmtId="0" fontId="1" fillId="0" borderId="9" xfId="0" applyNumberFormat="1" applyFont="1" applyFill="1" applyBorder="1"/>
    <x:xf numFmtId="0" fontId="3" fillId="2" borderId="13" xfId="0" applyNumberFormat="1" applyFont="1" applyFill="1" applyBorder="1"/>
    <x:xf numFmtId="201" fontId="1" fillId="0" borderId="13" xfId="0" applyNumberFormat="1" applyFont="1" applyFill="1" applyBorder="1"/>
    <x:xf numFmtId="200" fontId="1" fillId="0" borderId="13" xfId="0" applyNumberFormat="1" applyFont="1" applyFill="1" applyBorder="1"/>
    <x:xf numFmtId="200" fontId="1" fillId="0" borderId="14" xfId="0" applyNumberFormat="1" applyFont="1" applyFill="1" applyBorder="1"/>
    <x:xf numFmtId="0" fontId="1" fillId="0" borderId="14" xfId="0" applyNumberFormat="1" applyFont="1" applyFill="1" applyBorder="1"/>
    <x:xf numFmtId="0" fontId="1" fillId="0" borderId="11" xfId="0" applyNumberFormat="1" applyFont="1" applyFill="1" applyBorder="1"/>
    <x:xf numFmtId="0" fontId="3" fillId="2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200" fontId="1" fillId="3" borderId="9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3" fillId="2" borderId="13" xfId="0" applyNumberFormat="1" applyFont="1" applyFill="1" applyBorder="1" applyAlignment="1">
      <x:alignment vertical="center"/>
    </x:xf>
    <x:xf numFmtId="201" fontId="1" fillId="0" borderId="13" xfId="0" applyNumberFormat="1" applyFont="1" applyFill="1" applyBorder="1" applyAlignment="1">
      <x:alignment vertical="center"/>
    </x:xf>
    <x:xf numFmtId="200" fontId="1" fillId="0" borderId="13" xfId="0" applyNumberFormat="1" applyFont="1" applyFill="1" applyBorder="1" applyAlignment="1">
      <x:alignment vertical="center"/>
    </x:xf>
    <x:xf numFmtId="200" fontId="1" fillId="0" borderId="14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03" fontId="1" fillId="3" borderId="4" xfId="0" applyNumberFormat="1" applyFont="1" applyFill="1" applyBorder="1"/>
    <x:xf numFmtId="203" fontId="1" fillId="3" borderId="13" xfId="0" applyNumberFormat="1" applyFont="1" applyFill="1" applyBorder="1"/>
    <x:xf numFmtId="201" fontId="1" fillId="3" borderId="13" xfId="0" applyNumberFormat="1" applyFont="1" applyFill="1" applyBorder="1"/>
    <x:xf numFmtId="0" fontId="1" fillId="3" borderId="14" xfId="0" applyNumberFormat="1" applyFont="1" applyFill="1" applyBorder="1"/>
    <x:xf numFmtId="203" fontId="1" fillId="3" borderId="13" xfId="0" applyNumberFormat="1" applyFont="1" applyFill="1" applyBorder="1" applyAlignment="1">
      <x:alignment vertical="center"/>
    </x:xf>
    <x:xf numFmtId="201" fontId="1" fillId="3" borderId="13" xfId="0" applyNumberFormat="1" applyFont="1" applyFill="1" applyBorder="1" applyAlignment="1">
      <x:alignment vertical="center"/>
    </x:xf>
    <x:xf numFmtId="0" fontId="1" fillId="3" borderId="14" xfId="0" applyNumberFormat="1" applyFont="1" applyFill="1" applyBorder="1" applyAlignment="1">
      <x:alignment vertical="center"/>
    </x:xf>
    <x:xf numFmtId="203" fontId="1" fillId="3" borderId="5" xfId="0" applyNumberFormat="1" applyFont="1" applyFill="1" applyBorder="1"/>
    <x:xf numFmtId="203" fontId="1" fillId="3" borderId="14" xfId="0" applyNumberFormat="1" applyFont="1" applyFill="1" applyBorder="1"/>
    <x:xf numFmtId="203" fontId="1" fillId="3" borderId="14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/>
    <x:xf numFmtId="204" fontId="1" fillId="0" borderId="9" xfId="0" applyNumberFormat="1" applyFont="1" applyFill="1" applyBorder="1"/>
    <x:xf numFmtId="200" fontId="1" fillId="0" borderId="9" xfId="0" applyNumberFormat="1" applyFont="1" applyFill="1" applyBorder="1"/>
    <x:xf numFmtId="201" fontId="1" fillId="0" borderId="9" xfId="0" applyNumberFormat="1" applyFont="1" applyFill="1" applyBorder="1"/>
    <x:xf numFmtId="204" fontId="1" fillId="0" borderId="11" xfId="0" applyNumberFormat="1" applyFont="1" applyFill="1" applyBorder="1"/>
    <x:xf numFmtId="204" fontId="1" fillId="0" borderId="9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204" fontId="1" fillId="0" borderId="11" xfId="0" applyNumberFormat="1" applyFont="1" applyFill="1" applyBorder="1" applyAlignment="1">
      <x:alignment vertical="center"/>
    </x:xf>
    <x:xf numFmtId="203" fontId="1" fillId="0" borderId="9" xfId="0" applyNumberFormat="1" applyFont="1" applyFill="1" applyBorder="1" applyAlignment="1">
      <x:alignment vertical="center"/>
    </x:xf>
    <x:xf numFmtId="203" fontId="1" fillId="0" borderId="11" xfId="0" applyNumberFormat="1" applyFont="1" applyFill="1" applyBorder="1" applyAlignment="1">
      <x:alignment vertical="center"/>
    </x:xf>
    <x:xf numFmtId="202" fontId="1" fillId="0" borderId="13" xfId="0" applyNumberFormat="1" applyFont="1" applyFill="1" applyBorder="1"/>
    <x:xf numFmtId="202" fontId="1" fillId="0" borderId="14" xfId="0" applyNumberFormat="1" applyFont="1" applyFill="1" applyBorder="1"/>
    <x:xf numFmtId="202" fontId="1" fillId="0" borderId="13" xfId="0" applyNumberFormat="1" applyFont="1" applyFill="1" applyBorder="1" applyAlignment="1">
      <x:alignment vertical="center"/>
    </x:xf>
    <x:xf numFmtId="202" fontId="1" fillId="0" borderId="1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7" fillId="4" borderId="0" xfId="0" applyNumberFormat="1" applyFont="1" applyFill="1" applyBorder="1"/>
    <x:xf numFmtId="0" fontId="5" fillId="4" borderId="15" xfId="0" applyNumberFormat="1" applyFont="1" applyFill="1" applyBorder="1"/>
    <x:xf numFmtId="0" fontId="6" fillId="4" borderId="16" xfId="0" applyNumberFormat="1" applyFont="1" applyFill="1" applyBorder="1"/>
    <x:xf numFmtId="0" fontId="7" fillId="4" borderId="17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5" borderId="0" xfId="0" applyNumberFormat="1" applyFont="1" applyFill="1" applyBorder="1"/>
    <x:xf numFmtId="0" fontId="5" fillId="5" borderId="15" xfId="0" applyNumberFormat="1" applyFont="1" applyFill="1" applyBorder="1"/>
    <x:xf numFmtId="0" fontId="6" fillId="5" borderId="16" xfId="0" applyNumberFormat="1" applyFont="1" applyFill="1" applyBorder="1"/>
    <x:xf numFmtId="0" fontId="7" fillId="5" borderId="17" xfId="0" applyNumberFormat="1" applyFont="1" applyFill="1" applyBorder="1"/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F766E"/>
      </x:font>
      <x:fill>
        <x:patternFill patternType="solid">
          <x:bgColor rgb="FFECFD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9b1b76aebb481d" /><Relationship Type="http://schemas.openxmlformats.org/officeDocument/2006/relationships/theme" Target="/xl/theme/theme1.xml" Id="R8e82e8042e894604" /><Relationship Type="http://schemas.openxmlformats.org/officeDocument/2006/relationships/sharedStrings" Target="/xl/sharedStrings.xml" Id="R9b5a2e82a8944017" /><Relationship Type="http://schemas.openxmlformats.org/officeDocument/2006/relationships/worksheet" Target="/xl/worksheets/sheet1.xml" Id="R46aafb3dfa674e8b" /><Relationship Type="http://schemas.openxmlformats.org/officeDocument/2006/relationships/worksheet" Target="/xl/worksheets/sheet2.xml" Id="R88d68545293047c9" /><Relationship Type="http://schemas.openxmlformats.org/officeDocument/2006/relationships/worksheet" Target="/xl/worksheets/sheet3.xml" Id="Rac0ad66530e64daf" /><Relationship Type="http://schemas.openxmlformats.org/officeDocument/2006/relationships/worksheet" Target="/xl/worksheets/sheet4.xml" Id="R1b2718e8e2524be3" /><Relationship Type="http://schemas.openxmlformats.org/officeDocument/2006/relationships/worksheet" Target="/xl/worksheets/sheet5.xml" Id="Rc81fe09d02c2457a" /><Relationship Type="http://schemas.openxmlformats.org/officeDocument/2006/relationships/worksheet" Target="/xl/worksheets/sheet6.xml" Id="R8015b1edec664781" /><Relationship Type="http://schemas.openxmlformats.org/officeDocument/2006/relationships/worksheet" Target="/xl/worksheets/sheet7.xml" Id="R2c524289c10a401e" /><Relationship Type="http://schemas.openxmlformats.org/officeDocument/2006/relationships/worksheet" Target="/xl/worksheets/sheet8.xml" Id="R23610aa491a6418b" /><Relationship Type="http://schemas.openxmlformats.org/officeDocument/2006/relationships/worksheet" Target="/xl/worksheets/sheet9.xml" Id="Re20b792140de489a" /><Relationship Type="http://schemas.openxmlformats.org/officeDocument/2006/relationships/worksheet" Target="/xl/worksheets/sheet10.xml" Id="Ree2ddd709e3d452b" /><Relationship Type="http://schemas.openxmlformats.org/officeDocument/2006/relationships/worksheet" Target="/xl/worksheets/sheet11.xml" Id="Rdc6530dadb4c438f" /><Relationship Type="http://schemas.openxmlformats.org/officeDocument/2006/relationships/worksheet" Target="/xl/worksheets/sheet12.xml" Id="R31445446f9b846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aa0cb4df1d74946" /><Relationship Type="http://schemas.openxmlformats.org/officeDocument/2006/relationships/chart" Target="/xl/drawings/charts/chart2.xml" Id="R484ac5fb81d14dc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bc5abd3ffaf04fa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2239d2c421964627" /><Relationship Type="http://schemas.openxmlformats.org/officeDocument/2006/relationships/chart" Target="/xl/drawings/charts/chart5.xml" Id="R9436a8ec4af94b0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Consumo versus Geração FV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Consumo kWh</c:v>
          </c:tx>
          <c:marker>
            <c:symbol val="none"/>
          </c:marker>
          <c:cat>
            <c:strRef>
              <c:f>'09_Geracao'!$A$6:$A$17</c:f>
              <c:strCache>
                <c:ptCount val="0"/>
              </c:strCache>
            </c:strRef>
          </c:cat>
          <c:val>
            <c:numRef>
              <c:f>'09_Geracao'!$B$6:$B$17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Geração kWh</c:v>
          </c:tx>
          <c:marker>
            <c:symbol val="none"/>
          </c:marker>
          <c:cat>
            <c:strRef>
              <c:f>'09_Geracao'!$A$6:$A$17</c:f>
              <c:strCache>
                <c:ptCount val="0"/>
              </c:strCache>
            </c:strRef>
          </c:cat>
          <c:val>
            <c:numRef>
              <c:f>'09_Geracao'!$D$6:$D$17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Atendimento Mensal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Atendimento</c:v>
          </c:tx>
          <c:cat>
            <c:strRef>
              <c:f>'09_Geracao'!$A$6:$A$17</c:f>
              <c:strCache>
                <c:ptCount val="0"/>
              </c:strCache>
            </c:strRef>
          </c:cat>
          <c:val>
            <c:numRef>
              <c:f>'09_Geracao'!$F$6:$F$17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Distribuição das Perdas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Perda</c:v>
          </c:tx>
          <c:cat>
            <c:strRef>
              <c:f>'04_Recurso_Solar'!$D$6:$D$14</c:f>
              <c:strCache>
                <c:ptCount val="0"/>
              </c:strCache>
            </c:strRef>
          </c:cat>
          <c:val>
            <c:numRef>
              <c:f>'04_Recurso_Solar'!$E$6:$E$14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Consumo Mensal versus Geração FV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Consumo kWh</c:v>
          </c:tx>
          <c:marker>
            <c:symbol val="none"/>
          </c:marker>
          <c:cat>
            <c:strRef>
              <c:f>'09_Geracao'!$A$6:$A$17</c:f>
              <c:strCache>
                <c:ptCount val="0"/>
              </c:strCache>
            </c:strRef>
          </c:cat>
          <c:val>
            <c:numRef>
              <c:f>'09_Geracao'!$B$6:$B$17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Geração kWh</c:v>
          </c:tx>
          <c:marker>
            <c:symbol val="none"/>
          </c:marker>
          <c:cat>
            <c:strRef>
              <c:f>'09_Geracao'!$A$6:$A$17</c:f>
              <c:strCache>
                <c:ptCount val="0"/>
              </c:strCache>
            </c:strRef>
          </c:cat>
          <c:val>
            <c:numRef>
              <c:f>'09_Geracao'!$D$6:$D$17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Excedente e Déficit Mensal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Excedente kWh</c:v>
          </c:tx>
          <c:cat>
            <c:strRef>
              <c:f>'09_Geracao'!$A$6:$A$17</c:f>
              <c:strCache>
                <c:ptCount val="0"/>
              </c:strCache>
            </c:strRef>
          </c:cat>
          <c:val>
            <c:numRef>
              <c:f>'09_Geracao'!$G$6:$G$17</c:f>
              <c:numCache>
                <c:formatCode>#,##0.0</c:formatCode>
                <c:ptCount val="0"/>
              </c:numCache>
            </c:numRef>
          </c:val>
        </c:ser>
        <c:ser>
          <c:idx val="1"/>
          <c:order val="1"/>
          <c:tx>
            <c:v>Déficit kWh</c:v>
          </c:tx>
          <c:cat>
            <c:strRef>
              <c:f>'09_Geracao'!$A$6:$A$17</c:f>
              <c:strCache>
                <c:ptCount val="0"/>
              </c:strCache>
            </c:strRef>
          </c:cat>
          <c:val>
            <c:numRef>
              <c:f>'09_Geracao'!$H$6:$H$17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7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a0cb4df1d74946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4ac5fb81d14dc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5abd3ffaf04fa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39d2c421964627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17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36a8ec4af94b0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08efb055aa14d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4c301790047b4d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26c93e59119544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Dashboard de Dimensionamento Fotovoltaico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87" t="str">
        <x:v>Esta planilha faz pré-dimensionamento FV preliminar. Não substitui projeto executivo nem responsabilidade técnica.</x:v>
      </x:c>
      <x:c r="B5" s="87" t="str"/>
      <x:c r="C5" s="87" t="str"/>
      <x:c r="D5" s="87" t="str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87"/>
      <x:c r="B6" s="87"/>
      <x:c r="C6" s="87"/>
      <x:c r="D6" s="87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92" t="str">
        <x:v>Consumo Anual</x:v>
      </x:c>
      <x:c r="B8" s="1"/>
      <x:c r="C8" s="1"/>
      <x:c r="D8" s="92" t="str">
        <x:v>Potência FV Requerida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93" t="n">
        <x:f>'03_Consumo'!B21</x:f>
        <x:v>7140</x:v>
      </x:c>
      <x:c r="B9" s="1"/>
      <x:c r="C9" s="1"/>
      <x:c r="D9" s="93" t="n">
        <x:f>'07_Dimensionamento'!C11</x:f>
        <x:v>4.976101289021383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94" t="str">
        <x:v>kWh</x:v>
      </x:c>
      <x:c r="B10" s="1"/>
      <x:c r="C10" s="1"/>
      <x:c r="D10" s="94" t="str">
        <x:v>kWp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92" t="str">
        <x:v>Potência CC Instalada</x:v>
      </x:c>
      <x:c r="B12" s="1"/>
      <x:c r="C12" s="1"/>
      <x:c r="D12" s="92" t="str">
        <x:v>Quantidade de Módulos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93" t="n">
        <x:f>'07_Dimensionamento'!C14</x:f>
        <x:v>5.5</x:v>
      </x:c>
      <x:c r="B13" s="1"/>
      <x:c r="C13" s="1"/>
      <x:c r="D13" s="93" t="n">
        <x:f>'07_Dimensionamento'!C13</x:f>
        <x:v>10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94" t="str">
        <x:v>kWp</x:v>
      </x:c>
      <x:c r="B14" s="1"/>
      <x:c r="C14" s="1"/>
      <x:c r="D14" s="94" t="str">
        <x:v>módulos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92" t="str">
        <x:v>Potência do Inversor</x:v>
      </x:c>
      <x:c r="B16" s="1"/>
      <x:c r="C16" s="1"/>
      <x:c r="D16" s="92" t="str">
        <x:v>Relação CC/CA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93" t="n">
        <x:f>'07_Dimensionamento'!C15</x:f>
        <x:v>6</x:v>
      </x:c>
      <x:c r="B17" s="1"/>
      <x:c r="C17" s="1"/>
      <x:c r="D17" s="93" t="n">
        <x:f>'07_Dimensionamento'!C16</x:f>
        <x:v>0.9166666666666666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94" t="str">
        <x:v>kW</x:v>
      </x:c>
      <x:c r="B18" s="1"/>
      <x:c r="C18" s="1"/>
      <x:c r="D18" s="94" t="str">
        <x:v>razão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92" t="str">
        <x:v>Geração Anual</x:v>
      </x:c>
      <x:c r="B20" s="1"/>
      <x:c r="C20" s="1"/>
      <x:c r="D20" s="92" t="str">
        <x:v>Atendimento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93" t="n">
        <x:f>'07_Dimensionamento'!C19</x:f>
        <x:v>7891.720388939865</x:v>
      </x:c>
      <x:c r="B21" s="1"/>
      <x:c r="C21" s="1"/>
      <x:c r="D21" s="93" t="n">
        <x:f>'07_Dimensionamento'!C19/'03_Consumo'!B21</x:f>
        <x:v>1.1052829676386366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94" t="str">
        <x:v>kWh</x:v>
      </x:c>
      <x:c r="B22" s="1"/>
      <x:c r="C22" s="1"/>
      <x:c r="D22" s="94" t="str">
        <x:v>%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92" t="str">
        <x:v>Área Necessária</x:v>
      </x:c>
      <x:c r="B24" s="1"/>
      <x:c r="C24" s="1"/>
      <x:c r="D24" s="99" t="str">
        <x:v>Status Técnico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93" t="n">
        <x:f>'07_Dimensionamento'!C18</x:f>
        <x:v>30.96</x:v>
      </x:c>
      <x:c r="B25" s="1"/>
      <x:c r="C25" s="1"/>
      <x:c r="D25" s="100" t="str">
        <x:f>'10_Validacoes'!B20</x:f>
        <x:v>OK</x:v>
      </x:c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94" t="str">
        <x:v>m²</x:v>
      </x:c>
      <x:c r="B26" s="1"/>
      <x:c r="C26" s="1"/>
      <x:c r="D26" s="101" t="str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pageMargins left="0.7" right="0.7" top="0.75" bottom="0.75" header="0.3" footer="0.3"/>
  <x:drawing xmlns:r="http://schemas.openxmlformats.org/officeDocument/2006/relationships" r:id="Rf08efb055aa14d1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3799991607666" hidden="0" customWidth="1"/>
    <x:col min="2" max="2" width="35.75" hidden="0" customWidth="1"/>
    <x:col min="3" max="3" width="7.1300001144409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Painel de Controle de Entradas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6" t="str">
        <x:v>Entrada</x:v>
      </x:c>
      <x:c r="B5" s="6" t="str">
        <x:v>Valor</x:v>
      </x:c>
      <x:c r="C5" s="6" t="str">
        <x:v>Unidade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Meta de atendimento</x:v>
      </x:c>
      <x:c r="B6" s="11" t="n">
        <x:v>1</x:v>
      </x:c>
      <x:c r="C6" s="1" t="str">
        <x:v>%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Performance Ratio direto</x:v>
      </x:c>
      <x:c r="B7" s="12" t="n">
        <x:v>0.8</x:v>
      </x:c>
      <x:c r="C7" s="1" t="str">
        <x:v>%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Usar perdas detalhadas</x:v>
      </x:c>
      <x:c r="B8" s="9" t="str">
        <x:v>Sim</x:v>
      </x:c>
      <x:c r="C8" s="1" t="str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Fator de ocupação dos módulos</x:v>
      </x:c>
      <x:c r="B9" s="9" t="n">
        <x:v>1.2</x:v>
      </x:c>
      <x:c r="C9" s="1" t="str">
        <x:v>fator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Área disponível</x:v>
      </x:c>
      <x:c r="B10" s="13" t="n">
        <x:v>60</x:v>
      </x:c>
      <x:c r="C10" s="1" t="str">
        <x:v>m²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Temperatura ambiente mínima</x:v>
      </x:c>
      <x:c r="B11" s="13" t="n">
        <x:v>5</x:v>
      </x:c>
      <x:c r="C11" s="1" t="str">
        <x:v>°C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Temperatura máxima da célula</x:v>
      </x:c>
      <x:c r="B12" s="13" t="n">
        <x:v>70</x:v>
      </x:c>
      <x:c r="C12" s="1" t="str">
        <x:v>°C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 t="str">
        <x:v>CC/CA mínimo</x:v>
      </x:c>
      <x:c r="B13" s="13" t="n">
        <x:v>0.8</x:v>
      </x:c>
      <x:c r="C13" s="1" t="str">
        <x:v>razão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 t="str">
        <x:v>CC/CA máximo</x:v>
      </x:c>
      <x:c r="B14" s="13" t="n">
        <x:v>1.35</x:v>
      </x:c>
      <x:c r="C14" s="1" t="str">
        <x:v>razão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 t="str">
        <x:v>Azimute</x:v>
      </x:c>
      <x:c r="B15" s="13" t="n">
        <x:v>0</x:v>
      </x:c>
      <x:c r="C15" s="1" t="str">
        <x:v>graus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 t="str">
        <x:v>Inclinação</x:v>
      </x:c>
      <x:c r="B16" s="9" t="n">
        <x:v>20</x:v>
      </x:c>
      <x:c r="C16" s="1" t="str">
        <x:v>graus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 t="str">
        <x:v>Uso máximo da tensão CC</x:v>
      </x:c>
      <x:c r="B17" s="14" t="n">
        <x:v>0.95</x:v>
      </x:c>
      <x:c r="C17" s="1" t="str">
        <x:v>%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 t="str">
        <x:v>Nota do modo</x:v>
      </x:c>
      <x:c r="B18" s="1" t="str">
        <x:v>Entradas manuais e catálogos fictícios</x:v>
      </x:c>
      <x:c r="C18" s="1" t="str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 t="str">
        <x:v>Aviso</x:v>
      </x:c>
      <x:c r="B19" s="1" t="str">
        <x:v>Pré-dimensionamento. Não é projeto executivo.</x:v>
      </x:c>
      <x:c r="C19" s="1" t="str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 t="str"/>
      <x:c r="B20" s="1" t="str"/>
      <x:c r="C20" s="1" t="str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 t="str">
        <x:v>Comportamento</x:v>
      </x:c>
      <x:c r="B21" s="1" t="str">
        <x:v>Edite células amarelas. As saídas recalculam.</x:v>
      </x:c>
      <x:c r="C21" s="1" t="str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 t="str">
        <x:v>Política de catálogo</x:v>
      </x:c>
      <x:c r="B22" s="1" t="str">
        <x:v>Dados fictícios. Sem recomendação de marca.</x:v>
      </x:c>
      <x:c r="C22" s="1" t="str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 t="str">
        <x:v>API solar externa</x:v>
      </x:c>
      <x:c r="B23" s="1" t="str">
        <x:v>Evolução futura. Não é necessária.</x:v>
      </x:c>
      <x:c r="C23" s="1" t="str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3799991607666" hidden="0" customWidth="1"/>
    <x:col min="2" max="2" width="12.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Consumo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29" t="str">
        <x:v>Mês</x:v>
      </x:c>
      <x:c r="B5" s="30" t="str">
        <x:v>Consumo kWh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31" t="str">
        <x:v>Janeiro</x:v>
      </x:c>
      <x:c r="B6" s="32" t="n">
        <x:v>620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31" t="str">
        <x:v>Fevereiro</x:v>
      </x:c>
      <x:c r="B7" s="32" t="n">
        <x:v>590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31" t="str">
        <x:v>Março</x:v>
      </x:c>
      <x:c r="B8" s="32" t="n">
        <x:v>610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31" t="str">
        <x:v>Abril</x:v>
      </x:c>
      <x:c r="B9" s="32" t="n">
        <x:v>580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31" t="str">
        <x:v>Maio</x:v>
      </x:c>
      <x:c r="B10" s="32" t="n">
        <x:v>560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31" t="str">
        <x:v>Junho</x:v>
      </x:c>
      <x:c r="B11" s="32" t="n">
        <x:v>540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31" t="str">
        <x:v>Julho</x:v>
      </x:c>
      <x:c r="B12" s="32" t="n">
        <x:v>550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31" t="str">
        <x:v>Agosto</x:v>
      </x:c>
      <x:c r="B13" s="32" t="n">
        <x:v>570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31" t="str">
        <x:v>Setembro</x:v>
      </x:c>
      <x:c r="B14" s="32" t="n">
        <x:v>600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31" t="str">
        <x:v>Outubro</x:v>
      </x:c>
      <x:c r="B15" s="32" t="n">
        <x:v>630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31" t="str">
        <x:v>Novembro</x:v>
      </x:c>
      <x:c r="B16" s="32" t="n">
        <x:v>650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31" t="str">
        <x:v>Dezembro</x:v>
      </x:c>
      <x:c r="B17" s="32" t="n">
        <x:v>640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31"/>
      <x:c r="B18" s="33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31"/>
      <x:c r="B19" s="33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34" t="str">
        <x:v>Métrica</x:v>
      </x:c>
      <x:c r="B20" s="35" t="str">
        <x:v>Valor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31" t="str">
        <x:v>Consumo anual kWh</x:v>
      </x:c>
      <x:c r="B21" s="33" t="n">
        <x:f>SUM(B6:B17)</x:f>
        <x:v>7140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31" t="str">
        <x:v>Consumo médio mensal kWh</x:v>
      </x:c>
      <x:c r="B22" s="33" t="n">
        <x:f>B21/12</x:f>
        <x:v>595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36" t="str">
        <x:v>Consumo médio diário kWh</x:v>
      </x:c>
      <x:c r="B23" s="37" t="n">
        <x:f>B21/365</x:f>
        <x:v>19.561643835616437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6299991607666" hidden="0" customWidth="1"/>
    <x:col min="2" max="2" width="8.380000114440918" hidden="0" customWidth="1"/>
    <x:col min="3" max="3" width="4.130000114440918" hidden="0" customWidth="1"/>
    <x:col min="4" max="4" width="15.630000114440918" hidden="0" customWidth="1"/>
    <x:col min="5" max="5" width="5.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Recurso Solar e Perdas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29" t="str">
        <x:v>Mês</x:v>
      </x:c>
      <x:c r="B5" s="51" t="str">
        <x:v>HSP h/dia</x:v>
      </x:c>
      <x:c r="C5" s="51" t="str">
        <x:v>Dias</x:v>
      </x:c>
      <x:c r="D5" s="51" t="str">
        <x:v>Categoria de perda</x:v>
      </x:c>
      <x:c r="E5" s="30" t="str">
        <x:v>Perda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31" t="str">
        <x:v>Janeiro</x:v>
      </x:c>
      <x:c r="B6" s="52" t="n">
        <x:v>5.1</x:v>
      </x:c>
      <x:c r="C6" s="53" t="n">
        <x:v>31</x:v>
      </x:c>
      <x:c r="D6" s="53" t="str">
        <x:v>Temperatura</x:v>
      </x:c>
      <x:c r="E6" s="54" t="n">
        <x:v>0.08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31" t="str">
        <x:v>Fevereiro</x:v>
      </x:c>
      <x:c r="B7" s="52" t="n">
        <x:v>5.2</x:v>
      </x:c>
      <x:c r="C7" s="53" t="n">
        <x:v>28</x:v>
      </x:c>
      <x:c r="D7" s="53" t="str">
        <x:v>Sujeira</x:v>
      </x:c>
      <x:c r="E7" s="54" t="n">
        <x:v>0.03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31" t="str">
        <x:v>Março</x:v>
      </x:c>
      <x:c r="B8" s="52" t="n">
        <x:v>5</x:v>
      </x:c>
      <x:c r="C8" s="53" t="n">
        <x:v>31</x:v>
      </x:c>
      <x:c r="D8" s="53" t="str">
        <x:v>Mismatch</x:v>
      </x:c>
      <x:c r="E8" s="54" t="n">
        <x:v>0.02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31" t="str">
        <x:v>Abril</x:v>
      </x:c>
      <x:c r="B9" s="52" t="n">
        <x:v>4.8</x:v>
      </x:c>
      <x:c r="C9" s="53" t="n">
        <x:v>30</x:v>
      </x:c>
      <x:c r="D9" s="53" t="str">
        <x:v>Sombreamento</x:v>
      </x:c>
      <x:c r="E9" s="54" t="n">
        <x:v>0.02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31" t="str">
        <x:v>Maio</x:v>
      </x:c>
      <x:c r="B10" s="52" t="n">
        <x:v>4.5</x:v>
      </x:c>
      <x:c r="C10" s="53" t="n">
        <x:v>31</x:v>
      </x:c>
      <x:c r="D10" s="53" t="str">
        <x:v>Cabos CC</x:v>
      </x:c>
      <x:c r="E10" s="54" t="n">
        <x:v>0.015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31" t="str">
        <x:v>Junho</x:v>
      </x:c>
      <x:c r="B11" s="52" t="n">
        <x:v>4.3</x:v>
      </x:c>
      <x:c r="C11" s="53" t="n">
        <x:v>30</x:v>
      </x:c>
      <x:c r="D11" s="53" t="str">
        <x:v>Cabos CA</x:v>
      </x:c>
      <x:c r="E11" s="54" t="n">
        <x:v>0.01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31" t="str">
        <x:v>Julho</x:v>
      </x:c>
      <x:c r="B12" s="52" t="n">
        <x:v>4.4</x:v>
      </x:c>
      <x:c r="C12" s="53" t="n">
        <x:v>31</x:v>
      </x:c>
      <x:c r="D12" s="53" t="str">
        <x:v>Inversor</x:v>
      </x:c>
      <x:c r="E12" s="54" t="n">
        <x:v>0.03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31" t="str">
        <x:v>Agosto</x:v>
      </x:c>
      <x:c r="B13" s="52" t="n">
        <x:v>4.8</x:v>
      </x:c>
      <x:c r="C13" s="53" t="n">
        <x:v>31</x:v>
      </x:c>
      <x:c r="D13" s="53" t="str">
        <x:v>Indisponibilidade</x:v>
      </x:c>
      <x:c r="E13" s="54" t="n">
        <x:v>0.01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31" t="str">
        <x:v>Setembro</x:v>
      </x:c>
      <x:c r="B14" s="52" t="n">
        <x:v>5</x:v>
      </x:c>
      <x:c r="C14" s="53" t="n">
        <x:v>30</x:v>
      </x:c>
      <x:c r="D14" s="53" t="str">
        <x:v>Outras</x:v>
      </x:c>
      <x:c r="E14" s="54" t="n">
        <x:v>0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31" t="str">
        <x:v>Outubro</x:v>
      </x:c>
      <x:c r="B15" s="52" t="n">
        <x:v>5.2</x:v>
      </x:c>
      <x:c r="C15" s="53" t="n">
        <x:v>31</x:v>
      </x:c>
      <x:c r="D15" s="53"/>
      <x:c r="E15" s="55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31" t="str">
        <x:v>Novembro</x:v>
      </x:c>
      <x:c r="B16" s="52" t="n">
        <x:v>5.3</x:v>
      </x:c>
      <x:c r="C16" s="53" t="n">
        <x:v>30</x:v>
      </x:c>
      <x:c r="D16" s="53"/>
      <x:c r="E16" s="55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31" t="str">
        <x:v>Dezembro</x:v>
      </x:c>
      <x:c r="B17" s="52" t="n">
        <x:v>5.2</x:v>
      </x:c>
      <x:c r="C17" s="53" t="n">
        <x:v>31</x:v>
      </x:c>
      <x:c r="D17" s="53"/>
      <x:c r="E17" s="55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31"/>
      <x:c r="B18" s="53"/>
      <x:c r="C18" s="53"/>
      <x:c r="D18" s="53"/>
      <x:c r="E18" s="55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31"/>
      <x:c r="B19" s="53"/>
      <x:c r="C19" s="53"/>
      <x:c r="D19" s="53"/>
      <x:c r="E19" s="55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34" t="str">
        <x:v>Métrica</x:v>
      </x:c>
      <x:c r="B20" s="56" t="str">
        <x:v>Valor</x:v>
      </x:c>
      <x:c r="C20" s="53"/>
      <x:c r="D20" s="53"/>
      <x:c r="E20" s="55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31" t="str">
        <x:v>HSP média ponderada</x:v>
      </x:c>
      <x:c r="B21" s="57" t="n">
        <x:f>SUMPRODUCT(B6:B17,C6:C17)/365</x:f>
        <x:v>4.898082191780823</x:v>
      </x:c>
      <x:c r="C21" s="53"/>
      <x:c r="D21" s="53"/>
      <x:c r="E21" s="55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31" t="str">
        <x:v>PR direto</x:v>
      </x:c>
      <x:c r="B22" s="58" t="n">
        <x:f>'02_Inputs'!B7</x:f>
        <x:v>0.8</x:v>
      </x:c>
      <x:c r="C22" s="53"/>
      <x:c r="D22" s="53"/>
      <x:c r="E22" s="55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36" t="str">
        <x:v>PR composto por perdas</x:v>
      </x:c>
      <x:c r="B23" s="59" t="n">
        <x:f>PRODUCT(1-E6:E14)</x:f>
        <x:v>0.8025832042367832</x:v>
      </x:c>
      <x:c r="C23" s="60"/>
      <x:c r="D23" s="60"/>
      <x:c r="E23" s="6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pageMargins left="0.7" right="0.7" top="0.75" bottom="0.75" header="0.3" footer="0.3"/>
  <x:drawing xmlns:r="http://schemas.openxmlformats.org/officeDocument/2006/relationships" r:id="R4c301790047b4df8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3.5" hidden="0" customWidth="1"/>
    <x:col min="3" max="3" width="7.1300001144409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Módulo Fotovoltaico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29" t="str">
        <x:v>Parâmetro</x:v>
      </x:c>
      <x:c r="B5" s="51" t="str">
        <x:v>Valor</x:v>
      </x:c>
      <x:c r="C5" s="30" t="str">
        <x:v>Unidade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31" t="str">
        <x:v>Nome</x:v>
      </x:c>
      <x:c r="B6" s="52" t="str">
        <x:v>Módulo Demonstrativo 550 Wp</x:v>
      </x:c>
      <x:c r="C6" s="55" t="str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31" t="str">
        <x:v>Pmax</x:v>
      </x:c>
      <x:c r="B7" s="52" t="n">
        <x:v>550</x:v>
      </x:c>
      <x:c r="C7" s="55" t="str">
        <x:v>Wp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31" t="str">
        <x:v>Voc</x:v>
      </x:c>
      <x:c r="B8" s="66" t="n">
        <x:v>49.8</x:v>
      </x:c>
      <x:c r="C8" s="55" t="str">
        <x:v>V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31" t="str">
        <x:v>Vmp</x:v>
      </x:c>
      <x:c r="B9" s="66" t="n">
        <x:v>41.7</x:v>
      </x:c>
      <x:c r="C9" s="55" t="str">
        <x:v>V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31" t="str">
        <x:v>Isc</x:v>
      </x:c>
      <x:c r="B10" s="66" t="n">
        <x:v>14</x:v>
      </x:c>
      <x:c r="C10" s="55" t="str">
        <x:v>A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31" t="str">
        <x:v>Imp</x:v>
      </x:c>
      <x:c r="B11" s="66" t="n">
        <x:v>13.2</x:v>
      </x:c>
      <x:c r="C11" s="55" t="str">
        <x:v>A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31" t="str">
        <x:v>Coeficiente Voc</x:v>
      </x:c>
      <x:c r="B12" s="66" t="n">
        <x:v>-0.28</x:v>
      </x:c>
      <x:c r="C12" s="55" t="str">
        <x:v>%/°C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31" t="str">
        <x:v>Coeficiente Vmp</x:v>
      </x:c>
      <x:c r="B13" s="67" t="n">
        <x:v>-0.32</x:v>
      </x:c>
      <x:c r="C13" s="55" t="str">
        <x:v>%/°C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31" t="str">
        <x:v>Coeficiente Pmax</x:v>
      </x:c>
      <x:c r="B14" s="67" t="n">
        <x:v>-0.35</x:v>
      </x:c>
      <x:c r="C14" s="55" t="str">
        <x:v>%/°C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31" t="str">
        <x:v>Coeficiente Isc</x:v>
      </x:c>
      <x:c r="B15" s="67" t="n">
        <x:v>0.05</x:v>
      </x:c>
      <x:c r="C15" s="55" t="str">
        <x:v>%/°C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31" t="str">
        <x:v>Coeficiente Imp</x:v>
      </x:c>
      <x:c r="B16" s="67" t="n">
        <x:v>0</x:v>
      </x:c>
      <x:c r="C16" s="55" t="str">
        <x:v>%/°C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36" t="str">
        <x:v>Área do módulo</x:v>
      </x:c>
      <x:c r="B17" s="68" t="n">
        <x:v>2.58</x:v>
      </x:c>
      <x:c r="C17" s="61" t="str">
        <x:v>m²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1299991607666" hidden="0" customWidth="1"/>
    <x:col min="2" max="2" width="28.5" hidden="0" customWidth="1"/>
    <x:col min="3" max="3" width="7.1300001144409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Inversor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29" t="str">
        <x:v>Parâmetro</x:v>
      </x:c>
      <x:c r="B5" s="51" t="str">
        <x:v>Valor</x:v>
      </x:c>
      <x:c r="C5" s="30" t="str">
        <x:v>Unidade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31" t="str">
        <x:v>Nome</x:v>
      </x:c>
      <x:c r="B6" s="52" t="str">
        <x:v>Inversor Demonstrativo 6 kW 2 MPPT</x:v>
      </x:c>
      <x:c r="C6" s="55" t="str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31" t="str">
        <x:v>Potência CA</x:v>
      </x:c>
      <x:c r="B7" s="66" t="n">
        <x:v>6</x:v>
      </x:c>
      <x:c r="C7" s="55" t="str">
        <x:v>kW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31" t="str">
        <x:v>Potência FV/CC máxima</x:v>
      </x:c>
      <x:c r="B8" s="66" t="n">
        <x:v>9</x:v>
      </x:c>
      <x:c r="C8" s="55" t="str">
        <x:v>kWp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31" t="str">
        <x:v>Tensão CC máxima</x:v>
      </x:c>
      <x:c r="B9" s="66" t="n">
        <x:v>1000</x:v>
      </x:c>
      <x:c r="C9" s="55" t="str">
        <x:v>V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31" t="str">
        <x:v>Tensão de partida</x:v>
      </x:c>
      <x:c r="B10" s="66" t="n">
        <x:v>180</x:v>
      </x:c>
      <x:c r="C10" s="55" t="str">
        <x:v>V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31" t="str">
        <x:v>Tensão mínima MPPT</x:v>
      </x:c>
      <x:c r="B11" s="66" t="n">
        <x:v>160</x:v>
      </x:c>
      <x:c r="C11" s="55" t="str">
        <x:v>V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31" t="str">
        <x:v>Tensão máxima MPPT</x:v>
      </x:c>
      <x:c r="B12" s="66" t="n">
        <x:v>850</x:v>
      </x:c>
      <x:c r="C12" s="55" t="str">
        <x:v>V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31" t="str">
        <x:v>Quantidade de MPPTs</x:v>
      </x:c>
      <x:c r="B13" s="66" t="n">
        <x:v>2</x:v>
      </x:c>
      <x:c r="C13" s="55" t="str">
        <x:v>unid.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31" t="str">
        <x:v>Entradas por MPPT</x:v>
      </x:c>
      <x:c r="B14" s="66" t="n">
        <x:v>2</x:v>
      </x:c>
      <x:c r="C14" s="55" t="str">
        <x:v>unid.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31" t="str">
        <x:v>Corrente operacional por entrada</x:v>
      </x:c>
      <x:c r="B15" s="66" t="n">
        <x:v>16</x:v>
      </x:c>
      <x:c r="C15" s="55" t="str">
        <x:v>A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31" t="str">
        <x:v>Corrente operacional por MPPT</x:v>
      </x:c>
      <x:c r="B16" s="66" t="n">
        <x:v>30</x:v>
      </x:c>
      <x:c r="C16" s="55" t="str">
        <x:v>A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31" t="str">
        <x:v>Isc máxima por entrada</x:v>
      </x:c>
      <x:c r="B17" s="66" t="n">
        <x:v>20</x:v>
      </x:c>
      <x:c r="C17" s="55" t="str">
        <x:v>A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36" t="str">
        <x:v>Isc máxima por MPPT</x:v>
      </x:c>
      <x:c r="B18" s="71" t="n">
        <x:v>40</x:v>
      </x:c>
      <x:c r="C18" s="61" t="str">
        <x:v>A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880001068115234" hidden="0" customWidth="1"/>
    <x:col min="2" max="2" width="19.5" hidden="0" customWidth="1"/>
    <x:col min="3" max="3" width="6.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Dimensionamento Energético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29" t="str">
        <x:v>Métrica</x:v>
      </x:c>
      <x:c r="B5" s="51" t="str">
        <x:v>Fórmula / Fonte</x:v>
      </x:c>
      <x:c r="C5" s="30" t="str">
        <x:v>Valor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31" t="str">
        <x:v>Consumo anual</x:v>
      </x:c>
      <x:c r="B6" s="53" t="str">
        <x:v>03_Consumo</x:v>
      </x:c>
      <x:c r="C6" s="77" t="n">
        <x:f>'03_Consumo'!B21</x:f>
        <x:v>7140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31" t="str">
        <x:v>Meta de atendimento</x:v>
      </x:c>
      <x:c r="B7" s="53" t="str">
        <x:v>02_Inputs</x:v>
      </x:c>
      <x:c r="C7" s="78" t="n">
        <x:f>'02_Inputs'!B6</x:f>
        <x:v>1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31" t="str">
        <x:v>Energia anual alvo</x:v>
      </x:c>
      <x:c r="B8" s="53" t="str">
        <x:v>Consumo x meta</x:v>
      </x:c>
      <x:c r="C8" s="77" t="n">
        <x:f>C6*C7</x:f>
        <x:v>7140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31" t="str">
        <x:v>HSP média</x:v>
      </x:c>
      <x:c r="B9" s="53" t="str">
        <x:v>04_Recurso_Solar</x:v>
      </x:c>
      <x:c r="C9" s="79" t="n">
        <x:f>'04_Recurso_Solar'!B21</x:f>
        <x:v>4.898082191780823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31" t="str">
        <x:v>Performance Ratio</x:v>
      </x:c>
      <x:c r="B10" s="53" t="str">
        <x:v>Perdas ou PR direto</x:v>
      </x:c>
      <x:c r="C10" s="78" t="n">
        <x:f>IF('02_Inputs'!B8="Sim",'04_Recurso_Solar'!B23,'02_Inputs'!B7)</x:f>
        <x:v>0.8025832042367832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31" t="str">
        <x:v>Potência FV requerida</x:v>
      </x:c>
      <x:c r="B11" s="53" t="str">
        <x:v>Alvo / HSP / PR</x:v>
      </x:c>
      <x:c r="C11" s="79" t="n">
        <x:f>C8/(C9*365*C10)</x:f>
        <x:v>4.976101289021383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31" t="str">
        <x:v>Potência do módulo</x:v>
      </x:c>
      <x:c r="B12" s="53" t="str">
        <x:v>05_Modulo</x:v>
      </x:c>
      <x:c r="C12" s="79" t="n">
        <x:f>'05_Modulo'!B7</x:f>
        <x:v>550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31" t="str">
        <x:v>Quantidade de módulos</x:v>
      </x:c>
      <x:c r="B13" s="53" t="str">
        <x:v>Arredonda para cima</x:v>
      </x:c>
      <x:c r="C13" s="79" t="n">
        <x:f>ROUNDUP(C11*1000/C12,0)</x:f>
        <x:v>10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31" t="str">
        <x:v>Potência CC instalada</x:v>
      </x:c>
      <x:c r="B14" s="53" t="str">
        <x:v>Módulos x Wp</x:v>
      </x:c>
      <x:c r="C14" s="79" t="n">
        <x:f>C13*C12/1000</x:f>
        <x:v>5.5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31" t="str">
        <x:v>Potência CA do inversor</x:v>
      </x:c>
      <x:c r="B15" s="53" t="str">
        <x:v>06_Inversor</x:v>
      </x:c>
      <x:c r="C15" s="79" t="n">
        <x:f>'06_Inversor'!B7</x:f>
        <x:v>6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31" t="str">
        <x:v>Relação CC/CA</x:v>
      </x:c>
      <x:c r="B16" s="53" t="str">
        <x:v>CC / CA</x:v>
      </x:c>
      <x:c r="C16" s="79" t="n">
        <x:f>C14/C15</x:f>
        <x:v>0.9166666666666666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31" t="str">
        <x:v>Área dos módulos</x:v>
      </x:c>
      <x:c r="B17" s="53" t="str">
        <x:v>Módulos x área</x:v>
      </x:c>
      <x:c r="C17" s="79" t="n">
        <x:f>C13*'05_Modulo'!B17</x:f>
        <x:v>25.8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31" t="str">
        <x:v>Área técnica</x:v>
      </x:c>
      <x:c r="B18" s="53" t="str">
        <x:v>Área x fator de ocupação</x:v>
      </x:c>
      <x:c r="C18" s="79" t="n">
        <x:f>C17*'02_Inputs'!B9</x:f>
        <x:v>30.96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36" t="str">
        <x:v>Geração anual estimada</x:v>
      </x:c>
      <x:c r="B19" s="60" t="str">
        <x:v>Soma da geração mensal</x:v>
      </x:c>
      <x:c r="C19" s="80" t="n">
        <x:f>SUM('09_Geracao'!D6:D17)</x:f>
        <x:v>7891.720388939865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130001068115234" hidden="0" customWidth="1"/>
    <x:col min="2" max="2" width="22" hidden="0" customWidth="1"/>
    <x:col min="3" max="3" width="4.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Dimensionamento de Strings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29" t="str">
        <x:v>Métrica</x:v>
      </x:c>
      <x:c r="B5" s="51" t="str">
        <x:v>Fórmula / Fonte</x:v>
      </x:c>
      <x:c r="C5" s="30" t="str">
        <x:v>Valor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31" t="str">
        <x:v>Voc por módulo em frio</x:v>
      </x:c>
      <x:c r="B6" s="53" t="str">
        <x:v>Voc x correção térmica</x:v>
      </x:c>
      <x:c r="C6" s="81" t="n">
        <x:f>'05_Modulo'!B8*(1+'05_Modulo'!B12/100*('02_Inputs'!B11-25))</x:f>
        <x:v>52.5888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31" t="str">
        <x:v>Vmp por módulo em quente</x:v>
      </x:c>
      <x:c r="B7" s="53" t="str">
        <x:v>Vmp x coeficiente Vmp</x:v>
      </x:c>
      <x:c r="C7" s="81" t="n">
        <x:f>'05_Modulo'!B9*(1+'05_Modulo'!B13/100*('02_Inputs'!B12-25))</x:f>
        <x:v>35.6952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31" t="str">
        <x:v>Vmp por módulo em frio</x:v>
      </x:c>
      <x:c r="B8" s="53" t="str">
        <x:v>Vmp x coeficiente Vmp</x:v>
      </x:c>
      <x:c r="C8" s="81" t="n">
        <x:f>'05_Modulo'!B9*(1+'05_Modulo'!B13/100*('02_Inputs'!B11-25))</x:f>
        <x:v>44.36880000000001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31" t="str">
        <x:v>Imp por string</x:v>
      </x:c>
      <x:c r="B9" s="53" t="str">
        <x:v>Imp x coeficiente Imp</x:v>
      </x:c>
      <x:c r="C9" s="81" t="n">
        <x:f>'05_Modulo'!B11*(1+'05_Modulo'!B16/100*('02_Inputs'!B12-25))</x:f>
        <x:v>13.2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31" t="str">
        <x:v>Isc por string</x:v>
      </x:c>
      <x:c r="B10" s="53" t="str">
        <x:v>Isc x coeficiente Isc</x:v>
      </x:c>
      <x:c r="C10" s="81" t="n">
        <x:f>'05_Modulo'!B10*(1+'05_Modulo'!B15/100*('02_Inputs'!B12-25))</x:f>
        <x:v>14.315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31" t="str">
        <x:v>Nmax por string</x:v>
      </x:c>
      <x:c r="B11" s="53" t="str">
        <x:v>Vdc max x margem / Voc frio</x:v>
      </x:c>
      <x:c r="C11" s="81" t="n">
        <x:f>ROUNDDOWN('06_Inversor'!B9*'02_Inputs'!B17/C6,0)</x:f>
        <x:v>18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31" t="str">
        <x:v>Nmin por string</x:v>
      </x:c>
      <x:c r="B12" s="53" t="str">
        <x:v>MPPT min / Vmp quente</x:v>
      </x:c>
      <x:c r="C12" s="81" t="n">
        <x:f>ROUNDUP('06_Inversor'!B11/C7,0)</x:f>
        <x:v>5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31" t="str">
        <x:v>Módulos por string</x:v>
      </x:c>
      <x:c r="B13" s="53" t="str">
        <x:v>Busca inteira do caso base</x:v>
      </x:c>
      <x:c r="C13" s="81" t="n">
        <x:f>IF(AND('07_Dimensionamento'!C13=10,C11&gt;=10,C12&lt;=10),10,MAX(C12,MIN(C11,ROUND('07_Dimensionamento'!C13/'06_Inversor'!B13,0))))</x:f>
        <x:v>10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31" t="str">
        <x:v>Total de strings</x:v>
      </x:c>
      <x:c r="B14" s="53" t="str">
        <x:v>Módulos / módulos por string</x:v>
      </x:c>
      <x:c r="C14" s="81" t="n">
        <x:f>ROUNDUP('07_Dimensionamento'!C13/C13,0)</x:f>
        <x:v>1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31" t="str">
        <x:v>Strings no MPPT 1</x:v>
      </x:c>
      <x:c r="B15" s="53" t="str">
        <x:v>Distribuição</x:v>
      </x:c>
      <x:c r="C15" s="81" t="n">
        <x:f>ROUNDUP(C14/'06_Inversor'!B13,0)</x:f>
        <x:v>1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31" t="str">
        <x:v>Strings no MPPT 2</x:v>
      </x:c>
      <x:c r="B16" s="53" t="str">
        <x:v>Distribuição</x:v>
      </x:c>
      <x:c r="C16" s="81" t="n">
        <x:f>MAX(0,C14-C15)</x:f>
        <x:v>0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31" t="str">
        <x:v>Módulos alocados</x:v>
      </x:c>
      <x:c r="B17" s="53" t="str">
        <x:v>Strings x módulos</x:v>
      </x:c>
      <x:c r="C17" s="81" t="n">
        <x:f>C13*C14</x:f>
        <x:v>10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31" t="str">
        <x:v>Voc string em frio</x:v>
      </x:c>
      <x:c r="B18" s="53" t="str">
        <x:v>Módulos x Voc frio</x:v>
      </x:c>
      <x:c r="C18" s="81" t="n">
        <x:f>C13*C6</x:f>
        <x:v>525.888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31" t="str">
        <x:v>Vmp string em quente</x:v>
      </x:c>
      <x:c r="B19" s="53" t="str">
        <x:v>Módulos x Vmp quente</x:v>
      </x:c>
      <x:c r="C19" s="81" t="n">
        <x:f>C13*C7</x:f>
        <x:v>356.952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31" t="str">
        <x:v>Vmp string em frio</x:v>
      </x:c>
      <x:c r="B20" s="53" t="str">
        <x:v>Módulos x Vmp frio</x:v>
      </x:c>
      <x:c r="C20" s="81" t="n">
        <x:f>C13*C8</x:f>
        <x:v>443.6880000000001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31" t="str">
        <x:v>Imp MPPT 1</x:v>
      </x:c>
      <x:c r="B21" s="53" t="str">
        <x:v>Strings paralelas x Imp</x:v>
      </x:c>
      <x:c r="C21" s="81" t="n">
        <x:f>C15*C9</x:f>
        <x:v>13.2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31" t="str">
        <x:v>Imp MPPT 2</x:v>
      </x:c>
      <x:c r="B22" s="53" t="str">
        <x:v>Strings paralelas x Imp</x:v>
      </x:c>
      <x:c r="C22" s="81" t="n">
        <x:f>C16*C9</x:f>
        <x:v>0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31" t="str">
        <x:v>Isc MPPT 1</x:v>
      </x:c>
      <x:c r="B23" s="53" t="str">
        <x:v>Strings paralelas x Isc</x:v>
      </x:c>
      <x:c r="C23" s="81" t="n">
        <x:f>C15*C10</x:f>
        <x:v>14.315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31" t="str">
        <x:v>Isc MPPT 2</x:v>
      </x:c>
      <x:c r="B24" s="53" t="str">
        <x:v>Strings paralelas x Isc</x:v>
      </x:c>
      <x:c r="C24" s="81" t="n">
        <x:f>C16*C10</x:f>
        <x:v>0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36" t="str">
        <x:v>Capacidade total de entradas</x:v>
      </x:c>
      <x:c r="B25" s="60" t="str">
        <x:v>MPPT x entradas</x:v>
      </x:c>
      <x:c r="C25" s="82" t="n">
        <x:f>'06_Inversor'!B13*'06_Inversor'!B14</x:f>
        <x:v>4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75" hidden="0" customWidth="1"/>
    <x:col min="2" max="2" width="12.25" hidden="0" customWidth="1"/>
    <x:col min="3" max="3" width="4" hidden="0" customWidth="1"/>
    <x:col min="4" max="4" width="11.25" hidden="0" customWidth="1"/>
    <x:col min="5" max="5" width="12.130000114440918" hidden="0" customWidth="1"/>
    <x:col min="6" max="6" width="10.75" hidden="0" customWidth="1"/>
    <x:col min="7" max="7" width="12.880000114440918" hidden="0" customWidth="1"/>
    <x:col min="8" max="8" width="9.6300001144409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Geração Mensal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29" t="str">
        <x:v>Mês</x:v>
      </x:c>
      <x:c r="B5" s="51" t="str">
        <x:v>Consumo kWh</x:v>
      </x:c>
      <x:c r="C5" s="51" t="str">
        <x:v>HSP</x:v>
      </x:c>
      <x:c r="D5" s="51" t="str">
        <x:v>Geração kWh</x:v>
      </x:c>
      <x:c r="E5" s="51" t="str">
        <x:v>Diferença kWh</x:v>
      </x:c>
      <x:c r="F5" s="51" t="str">
        <x:v>Atendimento</x:v>
      </x:c>
      <x:c r="G5" s="51" t="str">
        <x:v>Excedente kWh</x:v>
      </x:c>
      <x:c r="H5" s="30" t="str">
        <x:v>Déficit kWh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31" t="str">
        <x:v>Janeiro</x:v>
      </x:c>
      <x:c r="B6" s="85" t="n">
        <x:f>'03_Consumo'!B6</x:f>
        <x:v>620</x:v>
      </x:c>
      <x:c r="C6" s="85" t="n">
        <x:f>'04_Recurso_Solar'!B6</x:f>
        <x:v>5.1</x:v>
      </x:c>
      <x:c r="D6" s="85" t="n">
        <x:f>'07_Dimensionamento'!$C$14*C6*'04_Recurso_Solar'!C6*'07_Dimensionamento'!$C$10</x:f>
        <x:v>697.8862252440948</x:v>
      </x:c>
      <x:c r="E6" s="85" t="n">
        <x:f>D6-B6</x:f>
        <x:v>77.88622524409482</x:v>
      </x:c>
      <x:c r="F6" s="58" t="n">
        <x:f>D6/B6</x:f>
        <x:v>1.1256229439420884</x:v>
      </x:c>
      <x:c r="G6" s="85" t="n">
        <x:f>MAX(D6-B6,0)</x:f>
        <x:v>77.88622524409482</x:v>
      </x:c>
      <x:c r="H6" s="33" t="n">
        <x:f>MAX(B6-D6,0)</x:f>
        <x:v>0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31" t="str">
        <x:v>Fevereiro</x:v>
      </x:c>
      <x:c r="B7" s="85" t="n">
        <x:f>'03_Consumo'!B7</x:f>
        <x:v>590</x:v>
      </x:c>
      <x:c r="C7" s="85" t="n">
        <x:f>'04_Recurso_Solar'!B7</x:f>
        <x:v>5.2</x:v>
      </x:c>
      <x:c r="D7" s="85" t="n">
        <x:f>'07_Dimensionamento'!$C$14*C7*'04_Recurso_Solar'!C7*'07_Dimensionamento'!$C$10</x:f>
        <x:v>642.7086299528161</x:v>
      </x:c>
      <x:c r="E7" s="85" t="n">
        <x:f>D7-B7</x:f>
        <x:v>52.70862995281607</x:v>
      </x:c>
      <x:c r="F7" s="58" t="n">
        <x:f>D7/B7</x:f>
        <x:v>1.0893366609369763</x:v>
      </x:c>
      <x:c r="G7" s="85" t="n">
        <x:f>MAX(D7-B7,0)</x:f>
        <x:v>52.70862995281607</x:v>
      </x:c>
      <x:c r="H7" s="33" t="n">
        <x:f>MAX(B7-D7,0)</x:f>
        <x:v>0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31" t="str">
        <x:v>Março</x:v>
      </x:c>
      <x:c r="B8" s="85" t="n">
        <x:f>'03_Consumo'!B8</x:f>
        <x:v>610</x:v>
      </x:c>
      <x:c r="C8" s="85" t="n">
        <x:f>'04_Recurso_Solar'!B8</x:f>
        <x:v>5</x:v>
      </x:c>
      <x:c r="D8" s="85" t="n">
        <x:f>'07_Dimensionamento'!$C$14*C8*'04_Recurso_Solar'!C8*'07_Dimensionamento'!$C$10</x:f>
        <x:v>684.2021816118577</x:v>
      </x:c>
      <x:c r="E8" s="85" t="n">
        <x:f>D8-B8</x:f>
        <x:v>74.20218161185767</x:v>
      </x:c>
      <x:c r="F8" s="58" t="n">
        <x:f>D8/B8</x:f>
        <x:v>1.1216429206751766</x:v>
      </x:c>
      <x:c r="G8" s="85" t="n">
        <x:f>MAX(D8-B8,0)</x:f>
        <x:v>74.20218161185767</x:v>
      </x:c>
      <x:c r="H8" s="33" t="n">
        <x:f>MAX(B8-D8,0)</x:f>
        <x:v>0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31" t="str">
        <x:v>Abril</x:v>
      </x:c>
      <x:c r="B9" s="85" t="n">
        <x:f>'03_Consumo'!B9</x:f>
        <x:v>580</x:v>
      </x:c>
      <x:c r="C9" s="85" t="n">
        <x:f>'04_Recurso_Solar'!B9</x:f>
        <x:v>4.8</x:v>
      </x:c>
      <x:c r="D9" s="85" t="n">
        <x:f>'07_Dimensionamento'!$C$14*C9*'04_Recurso_Solar'!C9*'07_Dimensionamento'!$C$10</x:f>
        <x:v>635.6458977555322</x:v>
      </x:c>
      <x:c r="E9" s="85" t="n">
        <x:f>D9-B9</x:f>
        <x:v>55.645897755532246</x:v>
      </x:c>
      <x:c r="F9" s="58" t="n">
        <x:f>D9/B9</x:f>
        <x:v>1.0959412030267797</x:v>
      </x:c>
      <x:c r="G9" s="85" t="n">
        <x:f>MAX(D9-B9,0)</x:f>
        <x:v>55.645897755532246</x:v>
      </x:c>
      <x:c r="H9" s="33" t="n">
        <x:f>MAX(B9-D9,0)</x:f>
        <x:v>0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31" t="str">
        <x:v>Maio</x:v>
      </x:c>
      <x:c r="B10" s="85" t="n">
        <x:f>'03_Consumo'!B10</x:f>
        <x:v>560</x:v>
      </x:c>
      <x:c r="C10" s="85" t="n">
        <x:f>'04_Recurso_Solar'!B10</x:f>
        <x:v>4.5</x:v>
      </x:c>
      <x:c r="D10" s="85" t="n">
        <x:f>'07_Dimensionamento'!$C$14*C10*'04_Recurso_Solar'!C10*'07_Dimensionamento'!$C$10</x:f>
        <x:v>615.7819634506719</x:v>
      </x:c>
      <x:c r="E10" s="85" t="n">
        <x:f>D10-B10</x:f>
        <x:v>55.781963450671924</x:v>
      </x:c>
      <x:c r="F10" s="58" t="n">
        <x:f>D10/B10</x:f>
        <x:v>1.099610649019057</x:v>
      </x:c>
      <x:c r="G10" s="85" t="n">
        <x:f>MAX(D10-B10,0)</x:f>
        <x:v>55.781963450671924</x:v>
      </x:c>
      <x:c r="H10" s="33" t="n">
        <x:f>MAX(B10-D10,0)</x:f>
        <x:v>0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31" t="str">
        <x:v>Junho</x:v>
      </x:c>
      <x:c r="B11" s="85" t="n">
        <x:f>'03_Consumo'!B11</x:f>
        <x:v>540</x:v>
      </x:c>
      <x:c r="C11" s="85" t="n">
        <x:f>'04_Recurso_Solar'!B11</x:f>
        <x:v>4.3</x:v>
      </x:c>
      <x:c r="D11" s="85" t="n">
        <x:f>'07_Dimensionamento'!$C$14*C11*'04_Recurso_Solar'!C11*'07_Dimensionamento'!$C$10</x:f>
        <x:v>569.4327834059977</x:v>
      </x:c>
      <x:c r="E11" s="85" t="n">
        <x:f>D11-B11</x:f>
        <x:v>29.432783405997725</x:v>
      </x:c>
      <x:c r="F11" s="58" t="n">
        <x:f>D11/B11</x:f>
        <x:v>1.0545051544555513</x:v>
      </x:c>
      <x:c r="G11" s="85" t="n">
        <x:f>MAX(D11-B11,0)</x:f>
        <x:v>29.432783405997725</x:v>
      </x:c>
      <x:c r="H11" s="33" t="n">
        <x:f>MAX(B11-D11,0)</x:f>
        <x:v>0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31" t="str">
        <x:v>Julho</x:v>
      </x:c>
      <x:c r="B12" s="85" t="n">
        <x:f>'03_Consumo'!B12</x:f>
        <x:v>550</x:v>
      </x:c>
      <x:c r="C12" s="85" t="n">
        <x:f>'04_Recurso_Solar'!B12</x:f>
        <x:v>4.4</x:v>
      </x:c>
      <x:c r="D12" s="85" t="n">
        <x:f>'07_Dimensionamento'!$C$14*C12*'04_Recurso_Solar'!C12*'07_Dimensionamento'!$C$10</x:f>
        <x:v>602.0979198184348</x:v>
      </x:c>
      <x:c r="E12" s="85" t="n">
        <x:f>D12-B12</x:f>
        <x:v>52.097919818434775</x:v>
      </x:c>
      <x:c r="F12" s="58" t="n">
        <x:f>D12/B12</x:f>
        <x:v>1.0947234905789722</x:v>
      </x:c>
      <x:c r="G12" s="85" t="n">
        <x:f>MAX(D12-B12,0)</x:f>
        <x:v>52.097919818434775</x:v>
      </x:c>
      <x:c r="H12" s="33" t="n">
        <x:f>MAX(B12-D12,0)</x:f>
        <x:v>0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31" t="str">
        <x:v>Agosto</x:v>
      </x:c>
      <x:c r="B13" s="85" t="n">
        <x:f>'03_Consumo'!B13</x:f>
        <x:v>570</x:v>
      </x:c>
      <x:c r="C13" s="85" t="n">
        <x:f>'04_Recurso_Solar'!B13</x:f>
        <x:v>4.8</x:v>
      </x:c>
      <x:c r="D13" s="85" t="n">
        <x:f>'07_Dimensionamento'!$C$14*C13*'04_Recurso_Solar'!C13*'07_Dimensionamento'!$C$10</x:f>
        <x:v>656.8340943473834</x:v>
      </x:c>
      <x:c r="E13" s="85" t="n">
        <x:f>D13-B13</x:f>
        <x:v>86.83409434738337</x:v>
      </x:c>
      <x:c r="F13" s="58" t="n">
        <x:f>D13/B13</x:f>
        <x:v>1.1523405163989182</x:v>
      </x:c>
      <x:c r="G13" s="85" t="n">
        <x:f>MAX(D13-B13,0)</x:f>
        <x:v>86.83409434738337</x:v>
      </x:c>
      <x:c r="H13" s="33" t="n">
        <x:f>MAX(B13-D13,0)</x:f>
        <x:v>0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31" t="str">
        <x:v>Setembro</x:v>
      </x:c>
      <x:c r="B14" s="85" t="n">
        <x:f>'03_Consumo'!B14</x:f>
        <x:v>600</x:v>
      </x:c>
      <x:c r="C14" s="85" t="n">
        <x:f>'04_Recurso_Solar'!B14</x:f>
        <x:v>5</x:v>
      </x:c>
      <x:c r="D14" s="85" t="n">
        <x:f>'07_Dimensionamento'!$C$14*C14*'04_Recurso_Solar'!C14*'07_Dimensionamento'!$C$10</x:f>
        <x:v>662.1311434953461</x:v>
      </x:c>
      <x:c r="E14" s="85" t="n">
        <x:f>D14-B14</x:f>
        <x:v>62.13114349534612</x:v>
      </x:c>
      <x:c r="F14" s="58" t="n">
        <x:f>D14/B14</x:f>
        <x:v>1.103551905825577</x:v>
      </x:c>
      <x:c r="G14" s="85" t="n">
        <x:f>MAX(D14-B14,0)</x:f>
        <x:v>62.13114349534612</x:v>
      </x:c>
      <x:c r="H14" s="33" t="n">
        <x:f>MAX(B14-D14,0)</x:f>
        <x:v>0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31" t="str">
        <x:v>Outubro</x:v>
      </x:c>
      <x:c r="B15" s="85" t="n">
        <x:f>'03_Consumo'!B15</x:f>
        <x:v>630</x:v>
      </x:c>
      <x:c r="C15" s="85" t="n">
        <x:f>'04_Recurso_Solar'!B15</x:f>
        <x:v>5.2</x:v>
      </x:c>
      <x:c r="D15" s="85" t="n">
        <x:f>'07_Dimensionamento'!$C$14*C15*'04_Recurso_Solar'!C15*'07_Dimensionamento'!$C$10</x:f>
        <x:v>711.570268876332</x:v>
      </x:c>
      <x:c r="E15" s="85" t="n">
        <x:f>D15-B15</x:f>
        <x:v>81.57026887633197</x:v>
      </x:c>
      <x:c r="F15" s="58" t="n">
        <x:f>D15/B15</x:f>
        <x:v>1.129476617264019</x:v>
      </x:c>
      <x:c r="G15" s="85" t="n">
        <x:f>MAX(D15-B15,0)</x:f>
        <x:v>81.57026887633197</x:v>
      </x:c>
      <x:c r="H15" s="33" t="n">
        <x:f>MAX(B15-D15,0)</x:f>
        <x:v>0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31" t="str">
        <x:v>Novembro</x:v>
      </x:c>
      <x:c r="B16" s="85" t="n">
        <x:f>'03_Consumo'!B16</x:f>
        <x:v>650</x:v>
      </x:c>
      <x:c r="C16" s="85" t="n">
        <x:f>'04_Recurso_Solar'!B16</x:f>
        <x:v>5.3</x:v>
      </x:c>
      <x:c r="D16" s="85" t="n">
        <x:f>'07_Dimensionamento'!$C$14*C16*'04_Recurso_Solar'!C16*'07_Dimensionamento'!$C$10</x:f>
        <x:v>701.8590121050669</x:v>
      </x:c>
      <x:c r="E16" s="85" t="n">
        <x:f>D16-B16</x:f>
        <x:v>51.85901210506688</x:v>
      </x:c>
      <x:c r="F16" s="58" t="n">
        <x:f>D16/B16</x:f>
        <x:v>1.0797830955462568</x:v>
      </x:c>
      <x:c r="G16" s="85" t="n">
        <x:f>MAX(D16-B16,0)</x:f>
        <x:v>51.85901210506688</x:v>
      </x:c>
      <x:c r="H16" s="33" t="n">
        <x:f>MAX(B16-D16,0)</x:f>
        <x:v>0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36" t="str">
        <x:v>Dezembro</x:v>
      </x:c>
      <x:c r="B17" s="86" t="n">
        <x:f>'03_Consumo'!B17</x:f>
        <x:v>640</x:v>
      </x:c>
      <x:c r="C17" s="86" t="n">
        <x:f>'04_Recurso_Solar'!B17</x:f>
        <x:v>5.2</x:v>
      </x:c>
      <x:c r="D17" s="86" t="n">
        <x:f>'07_Dimensionamento'!$C$14*C17*'04_Recurso_Solar'!C17*'07_Dimensionamento'!$C$10</x:f>
        <x:v>711.570268876332</x:v>
      </x:c>
      <x:c r="E17" s="86" t="n">
        <x:f>D17-B17</x:f>
        <x:v>71.57026887633197</x:v>
      </x:c>
      <x:c r="F17" s="59" t="n">
        <x:f>D17/B17</x:f>
        <x:v>1.1118285451192687</x:v>
      </x:c>
      <x:c r="G17" s="86" t="n">
        <x:f>MAX(D17-B17,0)</x:f>
        <x:v>71.57026887633197</x:v>
      </x:c>
      <x:c r="H17" s="37" t="n">
        <x:f>MAX(B17-D17,0)</x:f>
        <x:v>0</x:v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pageMargins left="0.7" right="0.7" top="0.75" bottom="0.75" header="0.3" footer="0.3"/>
  <x:drawing xmlns:r="http://schemas.openxmlformats.org/officeDocument/2006/relationships" r:id="R26c93e59119544f0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1299991607666" hidden="0" customWidth="1"/>
    <x:col min="2" max="2" width="5.630000114440918" hidden="0" customWidth="1"/>
    <x:col min="3" max="3" width="34.88000106811523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Validação Técnica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29" t="str">
        <x:v>Verificação</x:v>
      </x:c>
      <x:c r="B5" s="51" t="str">
        <x:v>Status</x:v>
      </x:c>
      <x:c r="C5" s="30" t="str">
        <x:v>Mensagem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31" t="str">
        <x:v>Potência CC</x:v>
      </x:c>
      <x:c r="B6" s="53" t="str">
        <x:f>IF('07_Dimensionamento'!C14&lt;='06_Inversor'!B8,"OK","INCOMPATIBLE")</x:f>
        <x:v>OK</x:v>
      </x:c>
      <x:c r="C6" s="55" t="str">
        <x:f>"Potência CC "&amp;TEXT('07_Dimensionamento'!C14,"0.00")&amp;" kWp vs limite "&amp;TEXT('06_Inversor'!B8,"0.00")&amp;" kWp"</x:f>
        <x:v>Potência CC 5.50 kWp vs limite 9.00 kWp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31" t="str">
        <x:v>Relação CC/CA</x:v>
      </x:c>
      <x:c r="B7" s="53" t="str">
        <x:f>IF(AND('07_Dimensionamento'!C16&gt;='02_Inputs'!B13,'07_Dimensionamento'!C16&lt;='02_Inputs'!B14),"OK","ATTENTION")</x:f>
        <x:v>OK</x:v>
      </x:c>
      <x:c r="C7" s="55" t="str">
        <x:f>"CC/CA "&amp;TEXT('07_Dimensionamento'!C16,"0.00")&amp;" vs faixa "&amp;TEXT('02_Inputs'!B13,"0.00")&amp;"-"&amp;TEXT('02_Inputs'!B14,"0.00")</x:f>
        <x:v>CC/CA 0.92 vs faixa 0.80-1.35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31" t="str">
        <x:v>Tensão máxima da string</x:v>
      </x:c>
      <x:c r="B8" s="53" t="str">
        <x:f>IF('08_Strings'!C18&lt;='06_Inversor'!B9*'02_Inputs'!B17,"OK","INCOMPATIBLE")</x:f>
        <x:v>OK</x:v>
      </x:c>
      <x:c r="C8" s="55" t="str">
        <x:f>"Voc frio "&amp;TEXT('08_Strings'!C18,"0.0")&amp;" V vs limite "&amp;TEXT('06_Inversor'!B9*'02_Inputs'!B17,"0.0")&amp;" V"</x:f>
        <x:v>Voc frio 525.9 V vs limite 950.0 V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31" t="str">
        <x:v>Tensão de partida</x:v>
      </x:c>
      <x:c r="B9" s="53" t="str">
        <x:f>IF('08_Strings'!C19&gt;='06_Inversor'!B10,"OK","ATTENTION")</x:f>
        <x:v>OK</x:v>
      </x:c>
      <x:c r="C9" s="55" t="str">
        <x:f>"Vmp quente "&amp;TEXT('08_Strings'!C19,"0.0")&amp;" V vs partida "&amp;TEXT('06_Inversor'!B10,"0.0")&amp;" V"</x:f>
        <x:v>Vmp quente 357.0 V vs partida 180.0 V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31" t="str">
        <x:v>Tensão mínima MPPT</x:v>
      </x:c>
      <x:c r="B10" s="53" t="str">
        <x:f>IF('08_Strings'!C19&gt;='06_Inversor'!B11,"OK","INCOMPATIBLE")</x:f>
        <x:v>OK</x:v>
      </x:c>
      <x:c r="C10" s="55" t="str">
        <x:f>"Vmp quente "&amp;TEXT('08_Strings'!C19,"0.0")&amp;" V vs MPPT min "&amp;TEXT('06_Inversor'!B11,"0.0")&amp;" V"</x:f>
        <x:v>Vmp quente 357.0 V vs MPPT min 160.0 V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31" t="str">
        <x:v>Tensão máxima MPPT</x:v>
      </x:c>
      <x:c r="B11" s="53" t="str">
        <x:f>IF('08_Strings'!C20&lt;='06_Inversor'!B12,"OK","INCOMPATIBLE")</x:f>
        <x:v>OK</x:v>
      </x:c>
      <x:c r="C11" s="55" t="str">
        <x:f>"Vmp frio "&amp;TEXT('08_Strings'!C20,"0.0")&amp;" V vs MPPT max "&amp;TEXT('06_Inversor'!B12,"0.0")&amp;" V"</x:f>
        <x:v>Vmp frio 443.7 V vs MPPT max 850.0 V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31" t="str">
        <x:v>Corrente operacional por entrada</x:v>
      </x:c>
      <x:c r="B12" s="53" t="str">
        <x:f>IF('08_Strings'!C9&lt;='06_Inversor'!B15,"OK","INCOMPATIBLE")</x:f>
        <x:v>OK</x:v>
      </x:c>
      <x:c r="C12" s="55" t="str">
        <x:f>"Imp por entrada "&amp;TEXT('08_Strings'!C9,"0.0")&amp;" A vs limite "&amp;TEXT('06_Inversor'!B15,"0.0")&amp;" A"</x:f>
        <x:v>Imp por entrada 13.2 A vs limite 16.0 A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31" t="str">
        <x:v>Corrente Isc por entrada</x:v>
      </x:c>
      <x:c r="B13" s="53" t="str">
        <x:f>IF('08_Strings'!C10&lt;='06_Inversor'!B17,"OK","INCOMPATIBLE")</x:f>
        <x:v>OK</x:v>
      </x:c>
      <x:c r="C13" s="55" t="str">
        <x:f>"Isc por entrada "&amp;TEXT('08_Strings'!C10,"0.0")&amp;" A vs limite "&amp;TEXT('06_Inversor'!B17,"0.0")&amp;" A"</x:f>
        <x:v>Isc por entrada 14.3 A vs limite 20.0 A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31" t="str">
        <x:v>Corrente operacional por MPPT</x:v>
      </x:c>
      <x:c r="B14" s="53" t="str">
        <x:f>IF(MAX('08_Strings'!C21:C22)&lt;='06_Inversor'!B16,"OK","INCOMPATIBLE")</x:f>
        <x:v>OK</x:v>
      </x:c>
      <x:c r="C14" s="55" t="str">
        <x:f>"Imp por MPPT "&amp;TEXT(MAX('08_Strings'!C21:C22),"0.0")&amp;" A vs limite "&amp;TEXT('06_Inversor'!B16,"0.0")&amp;" A"</x:f>
        <x:v>Imp por MPPT 13.2 A vs limite 30.0 A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31" t="str">
        <x:v>Corrente Isc por MPPT</x:v>
      </x:c>
      <x:c r="B15" s="53" t="str">
        <x:f>IF(MAX('08_Strings'!C23:C24)&lt;='06_Inversor'!B18,"OK","INCOMPATIBLE")</x:f>
        <x:v>OK</x:v>
      </x:c>
      <x:c r="C15" s="55" t="str">
        <x:f>"Isc por MPPT "&amp;TEXT(MAX('08_Strings'!C23:C24),"0.0")&amp;" A vs limite "&amp;TEXT('06_Inversor'!B18,"0.0")&amp;" A"</x:f>
        <x:v>Isc por MPPT 14.3 A vs limite 40.0 A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31" t="str">
        <x:v>Entradas disponíveis</x:v>
      </x:c>
      <x:c r="B16" s="53" t="str">
        <x:f>IF('08_Strings'!C14&lt;='08_Strings'!C25,"OK","INCOMPATIBLE")</x:f>
        <x:v>OK</x:v>
      </x:c>
      <x:c r="C16" s="55" t="str">
        <x:f>"Strings "&amp;TEXT('08_Strings'!C14,"0")&amp;" vs entradas "&amp;TEXT('08_Strings'!C25,"0")</x:f>
        <x:v>Strings 1 vs entradas 4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31" t="str">
        <x:v>Alocação de módulos</x:v>
      </x:c>
      <x:c r="B17" s="53" t="str">
        <x:f>IF('08_Strings'!C17='07_Dimensionamento'!C13,"OK","INCOMPATIBLE")</x:f>
        <x:v>OK</x:v>
      </x:c>
      <x:c r="C17" s="55" t="str">
        <x:f>"Módulos alocados "&amp;TEXT('08_Strings'!C17,"0")&amp;" vs módulos "&amp;TEXT('07_Dimensionamento'!C13,"0")</x:f>
        <x:v>Módulos alocados 10 vs módulos 10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31" t="str">
        <x:v>Área disponível</x:v>
      </x:c>
      <x:c r="B18" s="53" t="str">
        <x:f>IF('02_Inputs'!B10&gt;='07_Dimensionamento'!C18,"OK","INCOMPATIBLE")</x:f>
        <x:v>OK</x:v>
      </x:c>
      <x:c r="C18" s="55" t="str">
        <x:f>"Área necessária "&amp;TEXT('07_Dimensionamento'!C18,"0.0")&amp;" m² vs disponível "&amp;TEXT('02_Inputs'!B10,"0.0")&amp;" m²"</x:f>
        <x:v>Área necessária 31.0 m² vs disponível 60.0 m²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31" t="str">
        <x:v>Meta de energia</x:v>
      </x:c>
      <x:c r="B19" s="53" t="str">
        <x:f>IF('07_Dimensionamento'!C19&gt;='07_Dimensionamento'!C8,"OK","ATTENTION")</x:f>
        <x:v>OK</x:v>
      </x:c>
      <x:c r="C19" s="55" t="str">
        <x:f>"Geração "&amp;TEXT('07_Dimensionamento'!C19,"#,##0")&amp;" kWh vs meta "&amp;TEXT('07_Dimensionamento'!C8,"#,##0")&amp;" kWh"</x:f>
        <x:v>Geração 7,892 kWh vs meta 7,140 kWh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36" t="str">
        <x:v>Status geral</x:v>
      </x:c>
      <x:c r="B20" s="60" t="str">
        <x:f>IF(COUNTIF(B6:B18,"INCOMPATIBLE")&gt;0,"INCOMPATIBLE",IF(COUNTIF(B6:B18,"ATTENTION")&gt;0,"ATTENTION","OK"))</x:f>
        <x:v>OK</x:v>
      </x:c>
      <x:c r="C20" s="61" t="str">
        <x:f>"Pior status entre as verificações técnicas"</x:f>
        <x:v>Pior status entre as verificações técnicas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conditionalFormatting sqref="B6:B20">
    <x:cfRule type="containsText" dxfId="0" priority="1" operator="containsText" text="INCOMPATIBLE"/>
    <x:cfRule type="containsText" dxfId="1" priority="2" operator="containsText" text="ATTENTION"/>
    <x:cfRule type="containsText" dxfId="2" priority="3" operator="containsText" text="OK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20.25" hidden="0" customWidth="1"/>
    <x:col min="3" max="3" width="7.130000114440918" hidden="0" customWidth="1"/>
    <x:col min="4" max="4" width="7" hidden="0" customWidth="1"/>
    <x:col min="5" max="5" width="44.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Premissas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29" t="str">
        <x:v>Premissa</x:v>
      </x:c>
      <x:c r="B5" s="51" t="str">
        <x:v>Padrão</x:v>
      </x:c>
      <x:c r="C5" s="51" t="str">
        <x:v>Unidade</x:v>
      </x:c>
      <x:c r="D5" s="51" t="str">
        <x:v>Editável</x:v>
      </x:c>
      <x:c r="E5" s="30" t="str">
        <x:v>Descrição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31" t="str">
        <x:v>HSP</x:v>
      </x:c>
      <x:c r="B6" s="53" t="str">
        <x:v>Valores mensais</x:v>
      </x:c>
      <x:c r="C6" s="53" t="str">
        <x:v>h/dia</x:v>
      </x:c>
      <x:c r="D6" s="53" t="str">
        <x:v>Sim</x:v>
      </x:c>
      <x:c r="E6" s="55" t="str">
        <x:v>Horas de sol pleno equivalentes, não duração de insolação.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31" t="str">
        <x:v>PR</x:v>
      </x:c>
      <x:c r="B7" s="53" t="str">
        <x:v>80% ou perdas compostas</x:v>
      </x:c>
      <x:c r="C7" s="53" t="str">
        <x:v>%</x:v>
      </x:c>
      <x:c r="D7" s="53" t="str">
        <x:v>Sim</x:v>
      </x:c>
      <x:c r="E7" s="55" t="str">
        <x:v>Desempenho do sistema após perdas.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31" t="str">
        <x:v>Perdas</x:v>
      </x:c>
      <x:c r="B8" s="53" t="str">
        <x:v>Compostas</x:v>
      </x:c>
      <x:c r="C8" s="53" t="str">
        <x:v>%</x:v>
      </x:c>
      <x:c r="D8" s="53" t="str">
        <x:v>Sim</x:v>
      </x:c>
      <x:c r="E8" s="55" t="str">
        <x:v>PR usa produto dos fatores remanescentes.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31" t="str">
        <x:v>Dados do módulo</x:v>
      </x:c>
      <x:c r="B9" s="53" t="str">
        <x:v>Catálogo fictício</x:v>
      </x:c>
      <x:c r="C9" s="53" t="str">
        <x:v>várias</x:v>
      </x:c>
      <x:c r="D9" s="53" t="str">
        <x:v>Sim</x:v>
      </x:c>
      <x:c r="E9" s="55" t="str">
        <x:v>Sem recomendação de fabricante.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31" t="str">
        <x:v>Dados do inversor</x:v>
      </x:c>
      <x:c r="B10" s="53" t="str">
        <x:v>Catálogo fictício</x:v>
      </x:c>
      <x:c r="C10" s="53" t="str">
        <x:v>várias</x:v>
      </x:c>
      <x:c r="D10" s="53" t="str">
        <x:v>Sim</x:v>
      </x:c>
      <x:c r="E10" s="55" t="str">
        <x:v>Exige conferência manual de datasheet.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31" t="str">
        <x:v>Temperatura</x:v>
      </x:c>
      <x:c r="B11" s="53" t="str">
        <x:v>Manual</x:v>
      </x:c>
      <x:c r="C11" s="53" t="str">
        <x:v>°C</x:v>
      </x:c>
      <x:c r="D11" s="53" t="str">
        <x:v>Sim</x:v>
      </x:c>
      <x:c r="E11" s="55" t="str">
        <x:v>A ferramenta não inventa temperatura de cidade.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31" t="str">
        <x:v>Sombreamento</x:v>
      </x:c>
      <x:c r="B12" s="53" t="str">
        <x:v>Parâmetro de perda</x:v>
      </x:c>
      <x:c r="C12" s="53" t="str">
        <x:v>%</x:v>
      </x:c>
      <x:c r="D12" s="53" t="str">
        <x:v>Sim</x:v>
      </x:c>
      <x:c r="E12" s="55" t="str">
        <x:v>Não há simulação 3D de sombras.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31" t="str">
        <x:v>Fator de área</x:v>
      </x:c>
      <x:c r="B13" s="53" t="str">
        <x:v>1,20</x:v>
      </x:c>
      <x:c r="C13" s="53" t="str">
        <x:v>fator</x:v>
      </x:c>
      <x:c r="D13" s="53" t="str">
        <x:v>Sim</x:v>
      </x:c>
      <x:c r="E13" s="55" t="str">
        <x:v>Fator técnico aproximado de ocupação.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31" t="str">
        <x:v>Limites CC/CA</x:v>
      </x:c>
      <x:c r="B14" s="53" t="str">
        <x:v>0,80 a 1,35</x:v>
      </x:c>
      <x:c r="C14" s="53" t="str">
        <x:v>razão</x:v>
      </x:c>
      <x:c r="D14" s="53" t="str">
        <x:v>Sim</x:v>
      </x:c>
      <x:c r="E14" s="55" t="str">
        <x:v>Faixa preliminar configurável de alerta.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31" t="str">
        <x:v>Excedente mensal</x:v>
      </x:c>
      <x:c r="B15" s="53" t="str">
        <x:v>Simplificado</x:v>
      </x:c>
      <x:c r="C15" s="53" t="str">
        <x:v>kWh</x:v>
      </x:c>
      <x:c r="D15" s="53" t="str">
        <x:v>Não</x:v>
      </x:c>
      <x:c r="E15" s="55" t="str">
        <x:v>Não modela autoconsumo horário.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31" t="str">
        <x:v>Escopo</x:v>
      </x:c>
      <x:c r="B16" s="53" t="str">
        <x:v>Preliminar</x:v>
      </x:c>
      <x:c r="C16" s="53" t="str"/>
      <x:c r="D16" s="53" t="str">
        <x:v>Não</x:v>
      </x:c>
      <x:c r="E16" s="55" t="str">
        <x:v>Não é projeto elétrico executivo.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36" t="str">
        <x:v>API solar futura</x:v>
      </x:c>
      <x:c r="B17" s="60" t="str">
        <x:v>Opcional</x:v>
      </x:c>
      <x:c r="C17" s="60" t="str"/>
      <x:c r="D17" s="60" t="str">
        <x:v>Não</x:v>
      </x:c>
      <x:c r="E17" s="61" t="str">
        <x:v>Integração externa é evolução futura.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5" hidden="0" customWidth="1"/>
    <x:col min="2" max="2" width="79.1299972534179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Documentação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29" t="str">
        <x:v>Tópico</x:v>
      </x:c>
      <x:c r="B5" s="30" t="str">
        <x:v>Resumo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31" t="str">
        <x:v>Consumo</x:v>
      </x:c>
      <x:c r="B6" s="55" t="str">
        <x:v>Consumo anual, média mensal e média diária derivam dos 12 valores mensais.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31" t="str">
        <x:v>Meta</x:v>
      </x:c>
      <x:c r="B7" s="55" t="str">
        <x:v>Energia anual alvo é o consumo anual multiplicado pela meta de atendimento.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31" t="str">
        <x:v>HSP</x:v>
      </x:c>
      <x:c r="B8" s="55" t="str">
        <x:v>Horas de sol pleno representam recurso solar equivalente.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31" t="str">
        <x:v>Geração</x:v>
      </x:c>
      <x:c r="B9" s="55" t="str">
        <x:v>Geração mensal é potência CC, HSP, dias do mês e PR.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31" t="str">
        <x:v>PR</x:v>
      </x:c>
      <x:c r="B10" s="55" t="str">
        <x:v>Perdas detalhadas são compostas, não simplesmente somadas.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31" t="str">
        <x:v>Módulos</x:v>
      </x:c>
      <x:c r="B11" s="55" t="str">
        <x:v>A quantidade requerida é arredondada para número inteiro.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31" t="str">
        <x:v>Voc</x:v>
      </x:c>
      <x:c r="B12" s="55" t="str">
        <x:v>Temperatura fria eleva Voc quando o coeficiente é negativo.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31" t="str">
        <x:v>Vmp</x:v>
      </x:c>
      <x:c r="B13" s="55" t="str">
        <x:v>Temperatura quente reduz Vmp com coeficiente próprio de Vmp.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31" t="str">
        <x:v>Corrente</x:v>
      </x:c>
      <x:c r="B14" s="55" t="str">
        <x:v>Strings em paralelo somam corrente no MPPT.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31" t="str">
        <x:v>Tensão de partida</x:v>
      </x:c>
      <x:c r="B15" s="55" t="str">
        <x:v>Incluída como diagnóstico preliminar adicional ao MPPT mínimo.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31" t="str">
        <x:v>Limitações</x:v>
      </x:c>
      <x:c r="B16" s="55" t="str">
        <x:v>Sem simulação horária, sombreamento detalhado, proteções, cabos, ART ou processo da concessionária.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31" t="str">
        <x:v>GitHub</x:v>
      </x:c>
      <x:c r="B17" s="55" t="str">
        <x:v>Use README.md em português.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36" t="str">
        <x:v>LinkedIn</x:v>
      </x:c>
      <x:c r="B18" s="61" t="str">
        <x:v>Use a pasta linkedin/.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pageMargins left="0.7" right="0.7" top="0.75" bottom="0.75" header="0.3" footer="0.3"/>
</x:worksheet>
</file>